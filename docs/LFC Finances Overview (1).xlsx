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kmoir\Downloads\"/>
    </mc:Choice>
  </mc:AlternateContent>
  <xr:revisionPtr revIDLastSave="0" documentId="13_ncr:1_{E80FB27B-6020-41EF-97E6-CF44B8E8B62E}" xr6:coauthVersionLast="47" xr6:coauthVersionMax="47" xr10:uidLastSave="{00000000-0000-0000-0000-000000000000}"/>
  <bookViews>
    <workbookView xWindow="-120" yWindow="-120" windowWidth="29040" windowHeight="15840" xr2:uid="{DFFFCB36-0D12-4370-9502-0EDD9F6DD17E}"/>
  </bookViews>
  <sheets>
    <sheet name="Overview" sheetId="6" r:id="rId1"/>
    <sheet name="Ownership" sheetId="8" r:id="rId2"/>
    <sheet name="Management" sheetId="7" r:id="rId3"/>
    <sheet name="Income Statement" sheetId="2" r:id="rId4"/>
    <sheet name="Balance Sheet" sheetId="17" r:id="rId5"/>
    <sheet name="Cash Flow Statement V1" sheetId="18" r:id="rId6"/>
    <sheet name="Comps" sheetId="20" r:id="rId7"/>
    <sheet name="On The Pitch" sheetId="19" r:id="rId8"/>
    <sheet name="M&amp;A History" sheetId="5" r:id="rId9"/>
    <sheet name="Valuation Calcs" sheetId="9" r:id="rId10"/>
    <sheet name="Demographics &amp; Socials" sheetId="14" r:id="rId11"/>
    <sheet name="Cash Flow Statement (Work On)" sheetId="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J13" i="2"/>
  <c r="G17" i="8"/>
  <c r="G19" i="8"/>
  <c r="G16" i="8"/>
  <c r="E10" i="8"/>
  <c r="E9" i="8"/>
  <c r="C11" i="14"/>
  <c r="E12" i="8"/>
  <c r="E6" i="8"/>
  <c r="E7" i="8"/>
  <c r="E8" i="8"/>
  <c r="E11" i="8"/>
  <c r="E5" i="8"/>
  <c r="G27" i="9"/>
  <c r="G32" i="9"/>
  <c r="G31" i="9"/>
  <c r="G30" i="9"/>
  <c r="G29" i="9"/>
  <c r="G28" i="9"/>
  <c r="G26" i="9"/>
  <c r="G25" i="9"/>
  <c r="G24" i="9"/>
  <c r="G23" i="9"/>
  <c r="E24" i="9"/>
  <c r="E25" i="9"/>
  <c r="E26" i="9"/>
  <c r="E27" i="9"/>
  <c r="E28" i="9"/>
  <c r="E29" i="9"/>
  <c r="E30" i="9"/>
  <c r="E31" i="9"/>
  <c r="E32" i="9"/>
  <c r="E23" i="9"/>
  <c r="D31" i="9"/>
  <c r="D29" i="9"/>
  <c r="D28" i="9"/>
  <c r="D27" i="9"/>
  <c r="D26" i="9"/>
  <c r="D25" i="9"/>
  <c r="D24" i="9"/>
  <c r="C24" i="9"/>
  <c r="M24" i="9" s="1"/>
  <c r="Q8" i="6" s="1"/>
  <c r="C25" i="9"/>
  <c r="C26" i="9"/>
  <c r="M26" i="9" s="1"/>
  <c r="O8" i="6" s="1"/>
  <c r="C27" i="9"/>
  <c r="C28" i="9"/>
  <c r="C29" i="9"/>
  <c r="M29" i="9" s="1"/>
  <c r="L8" i="6" s="1"/>
  <c r="C30" i="9"/>
  <c r="C31" i="9"/>
  <c r="M31" i="9" s="1"/>
  <c r="J8" i="6" s="1"/>
  <c r="C32" i="9"/>
  <c r="H23" i="9"/>
  <c r="B5" i="9"/>
  <c r="E5" i="9" s="1"/>
  <c r="G5" i="9" s="1"/>
  <c r="B9" i="9"/>
  <c r="E9" i="9" s="1"/>
  <c r="G9" i="9" s="1"/>
  <c r="B17" i="9"/>
  <c r="Q11" i="17"/>
  <c r="E17" i="9"/>
  <c r="I23" i="9"/>
  <c r="N9" i="5"/>
  <c r="O9" i="5" s="1"/>
  <c r="O5" i="5"/>
  <c r="O6" i="5"/>
  <c r="O7" i="5"/>
  <c r="N8" i="5"/>
  <c r="O8" i="5" s="1"/>
  <c r="L8" i="5"/>
  <c r="L9" i="5"/>
  <c r="M9" i="5" s="1"/>
  <c r="J8" i="5"/>
  <c r="J9" i="5"/>
  <c r="R7" i="18"/>
  <c r="J6" i="6"/>
  <c r="L6" i="6"/>
  <c r="M6" i="6"/>
  <c r="N6" i="6"/>
  <c r="O6" i="6"/>
  <c r="P6" i="6"/>
  <c r="Q6" i="6"/>
  <c r="R6" i="6"/>
  <c r="O5" i="6"/>
  <c r="O4" i="6"/>
  <c r="P4" i="6"/>
  <c r="Q4" i="6"/>
  <c r="Q5" i="6" s="1"/>
  <c r="R4" i="6"/>
  <c r="N4" i="6"/>
  <c r="M4" i="6"/>
  <c r="L4" i="6"/>
  <c r="L5" i="6" s="1"/>
  <c r="K4" i="6"/>
  <c r="J4" i="6"/>
  <c r="J5" i="6" s="1"/>
  <c r="I4" i="6"/>
  <c r="N5" i="6" s="1"/>
  <c r="C47" i="6"/>
  <c r="C45" i="6"/>
  <c r="C28" i="6"/>
  <c r="C27" i="6"/>
  <c r="C23" i="6"/>
  <c r="C42" i="6"/>
  <c r="C41" i="6"/>
  <c r="C40" i="6"/>
  <c r="C39" i="6"/>
  <c r="C22" i="6"/>
  <c r="C9" i="2"/>
  <c r="D9" i="2"/>
  <c r="E9" i="2"/>
  <c r="F9" i="2"/>
  <c r="G9" i="2"/>
  <c r="H9" i="2"/>
  <c r="I9" i="2"/>
  <c r="J9" i="2"/>
  <c r="K9" i="2"/>
  <c r="L9" i="2"/>
  <c r="C32" i="6"/>
  <c r="C17" i="6"/>
  <c r="I16" i="7"/>
  <c r="J16" i="7"/>
  <c r="J22" i="7"/>
  <c r="I22" i="7"/>
  <c r="H33" i="17"/>
  <c r="I33" i="17"/>
  <c r="K36" i="2"/>
  <c r="L36" i="2"/>
  <c r="L38" i="2" s="1"/>
  <c r="R8" i="18"/>
  <c r="R6" i="18"/>
  <c r="K13" i="19"/>
  <c r="K12" i="19"/>
  <c r="K11" i="19"/>
  <c r="K10" i="19"/>
  <c r="K9" i="19"/>
  <c r="K8" i="19"/>
  <c r="K7" i="19"/>
  <c r="K6" i="19"/>
  <c r="K5" i="19"/>
  <c r="K4" i="19"/>
  <c r="J5" i="19"/>
  <c r="J6" i="19"/>
  <c r="J7" i="19"/>
  <c r="J8" i="19"/>
  <c r="J9" i="19"/>
  <c r="J10" i="19"/>
  <c r="J11" i="19"/>
  <c r="J12" i="19"/>
  <c r="J13" i="19"/>
  <c r="D17" i="9" s="1"/>
  <c r="J4" i="19"/>
  <c r="D22" i="7"/>
  <c r="E22" i="7"/>
  <c r="F22" i="7"/>
  <c r="G22" i="7"/>
  <c r="H22" i="7"/>
  <c r="K22" i="7"/>
  <c r="L22" i="7"/>
  <c r="M22" i="7"/>
  <c r="C22" i="7"/>
  <c r="C12" i="7"/>
  <c r="C16" i="7" s="1"/>
  <c r="D12" i="7"/>
  <c r="D16" i="7" s="1"/>
  <c r="E12" i="7"/>
  <c r="E16" i="7" s="1"/>
  <c r="F12" i="7"/>
  <c r="F16" i="7" s="1"/>
  <c r="G12" i="7"/>
  <c r="G16" i="7" s="1"/>
  <c r="H12" i="7"/>
  <c r="H16" i="7" s="1"/>
  <c r="I12" i="7"/>
  <c r="J12" i="7"/>
  <c r="K12" i="7"/>
  <c r="K16" i="7" s="1"/>
  <c r="L12" i="7"/>
  <c r="L16" i="7" s="1"/>
  <c r="M12" i="7"/>
  <c r="M16" i="7" s="1"/>
  <c r="C39" i="2"/>
  <c r="D36" i="2"/>
  <c r="D38" i="2" s="1"/>
  <c r="E36" i="2"/>
  <c r="F36" i="2"/>
  <c r="G36" i="2"/>
  <c r="G37" i="2" s="1"/>
  <c r="H36" i="2"/>
  <c r="H38" i="2" s="1"/>
  <c r="I36" i="2"/>
  <c r="J36" i="2"/>
  <c r="C36" i="2"/>
  <c r="C38" i="2" s="1"/>
  <c r="L31" i="18"/>
  <c r="L33" i="18" s="1"/>
  <c r="K31" i="18"/>
  <c r="K33" i="18" s="1"/>
  <c r="J31" i="18"/>
  <c r="J33" i="18" s="1"/>
  <c r="I31" i="18"/>
  <c r="I33" i="18" s="1"/>
  <c r="H31" i="18"/>
  <c r="H33" i="18" s="1"/>
  <c r="G31" i="18"/>
  <c r="G33" i="18" s="1"/>
  <c r="F31" i="18"/>
  <c r="F33" i="18" s="1"/>
  <c r="E31" i="18"/>
  <c r="E33" i="18" s="1"/>
  <c r="D31" i="18"/>
  <c r="D33" i="18" s="1"/>
  <c r="C31" i="18"/>
  <c r="C33" i="18" s="1"/>
  <c r="L24" i="18"/>
  <c r="K24" i="18"/>
  <c r="J24" i="18"/>
  <c r="I24" i="18"/>
  <c r="H24" i="18"/>
  <c r="G24" i="18"/>
  <c r="F24" i="18"/>
  <c r="E24" i="18"/>
  <c r="D24" i="18"/>
  <c r="C24" i="18"/>
  <c r="L22" i="18"/>
  <c r="K22" i="18"/>
  <c r="J22" i="18"/>
  <c r="I22" i="18"/>
  <c r="H22" i="18"/>
  <c r="G22" i="18"/>
  <c r="F22" i="18"/>
  <c r="E22" i="18"/>
  <c r="D22" i="18"/>
  <c r="C22" i="18"/>
  <c r="L9" i="18"/>
  <c r="K9" i="18"/>
  <c r="J9" i="18"/>
  <c r="I9" i="18"/>
  <c r="H9" i="18"/>
  <c r="G9" i="18"/>
  <c r="F9" i="18"/>
  <c r="E9" i="18"/>
  <c r="D9" i="18"/>
  <c r="C9" i="18"/>
  <c r="L7" i="18"/>
  <c r="K7" i="18"/>
  <c r="J7" i="18"/>
  <c r="I7" i="18"/>
  <c r="H7" i="18"/>
  <c r="G7" i="18"/>
  <c r="F7" i="18"/>
  <c r="E7" i="18"/>
  <c r="D7" i="18"/>
  <c r="D7" i="4"/>
  <c r="E7" i="4"/>
  <c r="F7" i="4"/>
  <c r="G7" i="4"/>
  <c r="H7" i="4"/>
  <c r="I7" i="4"/>
  <c r="J7" i="4"/>
  <c r="K7" i="4"/>
  <c r="L7" i="4"/>
  <c r="D9" i="4"/>
  <c r="D29" i="4"/>
  <c r="D31" i="4" s="1"/>
  <c r="E29" i="4"/>
  <c r="E31" i="4" s="1"/>
  <c r="F29" i="4"/>
  <c r="F31" i="4" s="1"/>
  <c r="G29" i="4"/>
  <c r="G31" i="4" s="1"/>
  <c r="H29" i="4"/>
  <c r="H31" i="4" s="1"/>
  <c r="I29" i="4"/>
  <c r="I31" i="4" s="1"/>
  <c r="J29" i="4"/>
  <c r="J31" i="4" s="1"/>
  <c r="K29" i="4"/>
  <c r="K31" i="4" s="1"/>
  <c r="L29" i="4"/>
  <c r="L31" i="4" s="1"/>
  <c r="C29" i="4"/>
  <c r="C31" i="4" s="1"/>
  <c r="D22" i="4"/>
  <c r="E9" i="4"/>
  <c r="F9" i="4"/>
  <c r="G9" i="4"/>
  <c r="H9" i="4"/>
  <c r="I9" i="4"/>
  <c r="J9" i="4"/>
  <c r="K9" i="4"/>
  <c r="L9" i="4"/>
  <c r="C9" i="4"/>
  <c r="L20" i="4"/>
  <c r="K20" i="4"/>
  <c r="C22" i="4"/>
  <c r="E22" i="4"/>
  <c r="F22" i="4"/>
  <c r="G22" i="4"/>
  <c r="H22" i="4"/>
  <c r="I22" i="4"/>
  <c r="J22" i="4"/>
  <c r="L22" i="4"/>
  <c r="K22" i="4"/>
  <c r="D18" i="17"/>
  <c r="D22" i="17" s="1"/>
  <c r="E18" i="17"/>
  <c r="E22" i="17" s="1"/>
  <c r="F18" i="17"/>
  <c r="F22" i="17" s="1"/>
  <c r="G18" i="17"/>
  <c r="H18" i="17"/>
  <c r="H22" i="17" s="1"/>
  <c r="I18" i="17"/>
  <c r="I22" i="17" s="1"/>
  <c r="J18" i="17"/>
  <c r="J22" i="17" s="1"/>
  <c r="K18" i="17"/>
  <c r="K22" i="17" s="1"/>
  <c r="L18" i="17"/>
  <c r="C18" i="17"/>
  <c r="C22" i="17" s="1"/>
  <c r="D7" i="17"/>
  <c r="E7" i="17"/>
  <c r="F7" i="17"/>
  <c r="G7" i="17"/>
  <c r="H7" i="17"/>
  <c r="I7" i="17"/>
  <c r="J7" i="17"/>
  <c r="K7" i="17"/>
  <c r="L7" i="17"/>
  <c r="C7" i="17"/>
  <c r="G28" i="2"/>
  <c r="C20" i="4"/>
  <c r="D20" i="4"/>
  <c r="E20" i="4"/>
  <c r="F20" i="4"/>
  <c r="G20" i="4"/>
  <c r="H20" i="4"/>
  <c r="I20" i="4"/>
  <c r="J20" i="4"/>
  <c r="C28" i="2"/>
  <c r="D28" i="2"/>
  <c r="E28" i="2"/>
  <c r="F28" i="2"/>
  <c r="H28" i="2"/>
  <c r="I28" i="2"/>
  <c r="J28" i="2"/>
  <c r="L28" i="2"/>
  <c r="C20" i="2"/>
  <c r="C6" i="18" s="1"/>
  <c r="D20" i="2"/>
  <c r="D6" i="18" s="1"/>
  <c r="C13" i="2"/>
  <c r="D13" i="2"/>
  <c r="C7" i="2"/>
  <c r="C35" i="2" s="1"/>
  <c r="D7" i="2"/>
  <c r="D14" i="2" s="1"/>
  <c r="D21" i="2" s="1"/>
  <c r="D25" i="2" s="1"/>
  <c r="C29" i="17"/>
  <c r="D29" i="17"/>
  <c r="E29" i="17"/>
  <c r="F29" i="17"/>
  <c r="G29" i="17"/>
  <c r="H29" i="17"/>
  <c r="I29" i="17"/>
  <c r="J29" i="17"/>
  <c r="K29" i="17"/>
  <c r="L29" i="17"/>
  <c r="C13" i="17"/>
  <c r="C19" i="17" s="1"/>
  <c r="D13" i="17"/>
  <c r="D15" i="17" s="1"/>
  <c r="D21" i="17" s="1"/>
  <c r="E13" i="17"/>
  <c r="E15" i="17" s="1"/>
  <c r="E21" i="17" s="1"/>
  <c r="F13" i="17"/>
  <c r="F19" i="17" s="1"/>
  <c r="G13" i="17"/>
  <c r="G19" i="17" s="1"/>
  <c r="H13" i="17"/>
  <c r="H15" i="17" s="1"/>
  <c r="I13" i="17"/>
  <c r="I15" i="17" s="1"/>
  <c r="I21" i="17" s="1"/>
  <c r="J13" i="17"/>
  <c r="J19" i="17" s="1"/>
  <c r="L13" i="17"/>
  <c r="L15" i="17" s="1"/>
  <c r="L21" i="17" s="1"/>
  <c r="G22" i="17"/>
  <c r="L22" i="17"/>
  <c r="K13" i="17"/>
  <c r="K19" i="17" s="1"/>
  <c r="K13" i="2"/>
  <c r="K28" i="2"/>
  <c r="F20" i="2"/>
  <c r="F6" i="4" s="1"/>
  <c r="G20" i="2"/>
  <c r="G6" i="18" s="1"/>
  <c r="H20" i="2"/>
  <c r="H6" i="18" s="1"/>
  <c r="I20" i="2"/>
  <c r="I6" i="18" s="1"/>
  <c r="J20" i="2"/>
  <c r="J6" i="4" s="1"/>
  <c r="K20" i="2"/>
  <c r="K6" i="18" s="1"/>
  <c r="L20" i="2"/>
  <c r="L6" i="18" s="1"/>
  <c r="E20" i="2"/>
  <c r="E6" i="18" s="1"/>
  <c r="F13" i="2"/>
  <c r="G13" i="2"/>
  <c r="H13" i="2"/>
  <c r="I13" i="2"/>
  <c r="L13" i="2"/>
  <c r="E13" i="2"/>
  <c r="J4" i="5"/>
  <c r="O4" i="5" s="1"/>
  <c r="J5" i="5"/>
  <c r="J6" i="5"/>
  <c r="J7" i="5"/>
  <c r="M7" i="5"/>
  <c r="M4" i="5"/>
  <c r="M5" i="5"/>
  <c r="M6" i="5"/>
  <c r="M8" i="5"/>
  <c r="E7" i="2"/>
  <c r="F26" i="7" s="1"/>
  <c r="F7" i="2"/>
  <c r="F14" i="2" s="1"/>
  <c r="F21" i="2" s="1"/>
  <c r="G7" i="2"/>
  <c r="G14" i="2" s="1"/>
  <c r="G21" i="2" s="1"/>
  <c r="G5" i="18" s="1"/>
  <c r="H7" i="2"/>
  <c r="H14" i="2" s="1"/>
  <c r="H21" i="2" s="1"/>
  <c r="H25" i="2" s="1"/>
  <c r="I7" i="2"/>
  <c r="I14" i="2" s="1"/>
  <c r="I21" i="2" s="1"/>
  <c r="I5" i="4" s="1"/>
  <c r="J7" i="2"/>
  <c r="J21" i="2" s="1"/>
  <c r="J5" i="18" s="1"/>
  <c r="K7" i="2"/>
  <c r="K39" i="2" s="1"/>
  <c r="L7" i="2"/>
  <c r="L14" i="2" s="1"/>
  <c r="L21" i="2" s="1"/>
  <c r="L25" i="2" s="1"/>
  <c r="L29" i="2" s="1"/>
  <c r="L31" i="2" s="1"/>
  <c r="C26" i="6" s="1"/>
  <c r="C24" i="6" l="1"/>
  <c r="C25" i="6"/>
  <c r="C17" i="9"/>
  <c r="F17" i="9" s="1"/>
  <c r="F23" i="9" s="1"/>
  <c r="M25" i="9"/>
  <c r="P8" i="6" s="1"/>
  <c r="M5" i="6"/>
  <c r="P5" i="6"/>
  <c r="K5" i="6"/>
  <c r="C23" i="9"/>
  <c r="M28" i="9"/>
  <c r="M8" i="6" s="1"/>
  <c r="M27" i="9"/>
  <c r="N8" i="6" s="1"/>
  <c r="I5" i="6"/>
  <c r="R5" i="6"/>
  <c r="D23" i="9"/>
  <c r="F5" i="9"/>
  <c r="F9" i="9"/>
  <c r="J38" i="2"/>
  <c r="I39" i="2"/>
  <c r="H6" i="4"/>
  <c r="I35" i="2"/>
  <c r="I37" i="2"/>
  <c r="E37" i="2"/>
  <c r="C16" i="6"/>
  <c r="E35" i="2"/>
  <c r="H37" i="2"/>
  <c r="L33" i="17"/>
  <c r="C33" i="6"/>
  <c r="F6" i="18"/>
  <c r="G32" i="17"/>
  <c r="H26" i="7"/>
  <c r="D6" i="4"/>
  <c r="J6" i="18"/>
  <c r="J8" i="18" s="1"/>
  <c r="J10" i="18" s="1"/>
  <c r="J17" i="18" s="1"/>
  <c r="D37" i="2"/>
  <c r="G38" i="2"/>
  <c r="J32" i="17"/>
  <c r="F32" i="17"/>
  <c r="D33" i="17"/>
  <c r="K26" i="7"/>
  <c r="G26" i="7"/>
  <c r="H5" i="18"/>
  <c r="H8" i="18" s="1"/>
  <c r="H10" i="18" s="1"/>
  <c r="H17" i="18" s="1"/>
  <c r="C37" i="2"/>
  <c r="K37" i="2"/>
  <c r="E39" i="2"/>
  <c r="K38" i="2"/>
  <c r="F38" i="2"/>
  <c r="I32" i="17"/>
  <c r="G33" i="17"/>
  <c r="D26" i="7"/>
  <c r="J26" i="7"/>
  <c r="C19" i="6"/>
  <c r="C34" i="6"/>
  <c r="L26" i="7"/>
  <c r="D5" i="18"/>
  <c r="D8" i="18" s="1"/>
  <c r="D10" i="18" s="1"/>
  <c r="D17" i="18" s="1"/>
  <c r="D25" i="18" s="1"/>
  <c r="I38" i="2"/>
  <c r="L6" i="4"/>
  <c r="L5" i="18"/>
  <c r="L8" i="18" s="1"/>
  <c r="L10" i="18" s="1"/>
  <c r="L17" i="18" s="1"/>
  <c r="L25" i="18" s="1"/>
  <c r="E38" i="2"/>
  <c r="L32" i="17"/>
  <c r="H32" i="17"/>
  <c r="D32" i="17"/>
  <c r="J33" i="17"/>
  <c r="F33" i="17"/>
  <c r="M26" i="7"/>
  <c r="I26" i="7"/>
  <c r="E26" i="7"/>
  <c r="C31" i="6"/>
  <c r="C35" i="6"/>
  <c r="D23" i="17"/>
  <c r="D24" i="17" s="1"/>
  <c r="L19" i="17"/>
  <c r="F25" i="2"/>
  <c r="F29" i="2" s="1"/>
  <c r="F31" i="2" s="1"/>
  <c r="K6" i="4"/>
  <c r="G6" i="4"/>
  <c r="C6" i="4"/>
  <c r="I25" i="2"/>
  <c r="I29" i="2" s="1"/>
  <c r="I31" i="2" s="1"/>
  <c r="L5" i="4"/>
  <c r="L8" i="4" s="1"/>
  <c r="L10" i="4" s="1"/>
  <c r="L12" i="4" s="1"/>
  <c r="H5" i="4"/>
  <c r="D5" i="4"/>
  <c r="D8" i="4" s="1"/>
  <c r="D10" i="4" s="1"/>
  <c r="D12" i="4" s="1"/>
  <c r="D15" i="4" s="1"/>
  <c r="D23" i="4" s="1"/>
  <c r="I5" i="18"/>
  <c r="I8" i="18" s="1"/>
  <c r="I10" i="18" s="1"/>
  <c r="I17" i="18" s="1"/>
  <c r="I25" i="18" s="1"/>
  <c r="L35" i="2"/>
  <c r="H35" i="2"/>
  <c r="D35" i="2"/>
  <c r="J37" i="2"/>
  <c r="F37" i="2"/>
  <c r="L39" i="2"/>
  <c r="H39" i="2"/>
  <c r="D39" i="2"/>
  <c r="D40" i="2"/>
  <c r="J40" i="2"/>
  <c r="G5" i="4"/>
  <c r="F5" i="18"/>
  <c r="K35" i="2"/>
  <c r="G35" i="2"/>
  <c r="G39" i="2"/>
  <c r="G40" i="2"/>
  <c r="I40" i="2"/>
  <c r="J25" i="2"/>
  <c r="J29" i="2" s="1"/>
  <c r="J31" i="2" s="1"/>
  <c r="I6" i="4"/>
  <c r="I8" i="4" s="1"/>
  <c r="I10" i="4" s="1"/>
  <c r="I12" i="4" s="1"/>
  <c r="I15" i="4" s="1"/>
  <c r="E6" i="4"/>
  <c r="G25" i="2"/>
  <c r="G29" i="2" s="1"/>
  <c r="G31" i="2" s="1"/>
  <c r="J5" i="4"/>
  <c r="J8" i="4" s="1"/>
  <c r="J10" i="4" s="1"/>
  <c r="J12" i="4" s="1"/>
  <c r="J15" i="4" s="1"/>
  <c r="F5" i="4"/>
  <c r="F8" i="4" s="1"/>
  <c r="F10" i="4" s="1"/>
  <c r="F12" i="4" s="1"/>
  <c r="F15" i="4" s="1"/>
  <c r="F23" i="4" s="1"/>
  <c r="J35" i="2"/>
  <c r="F35" i="2"/>
  <c r="L37" i="2"/>
  <c r="C46" i="6" s="1"/>
  <c r="J39" i="2"/>
  <c r="F39" i="2"/>
  <c r="F40" i="2"/>
  <c r="L40" i="2"/>
  <c r="H40" i="2"/>
  <c r="G8" i="18"/>
  <c r="G10" i="18" s="1"/>
  <c r="G17" i="18" s="1"/>
  <c r="G35" i="18" s="1"/>
  <c r="C35" i="18"/>
  <c r="C37" i="18" s="1"/>
  <c r="D36" i="18" s="1"/>
  <c r="C25" i="18"/>
  <c r="G25" i="18"/>
  <c r="K25" i="18"/>
  <c r="D35" i="18"/>
  <c r="E25" i="18"/>
  <c r="E35" i="18"/>
  <c r="I35" i="18"/>
  <c r="H35" i="18"/>
  <c r="H25" i="18"/>
  <c r="F25" i="18"/>
  <c r="F35" i="18"/>
  <c r="J35" i="18"/>
  <c r="J25" i="18"/>
  <c r="H29" i="2"/>
  <c r="H31" i="2" s="1"/>
  <c r="C15" i="17"/>
  <c r="C21" i="17" s="1"/>
  <c r="C23" i="17" s="1"/>
  <c r="C24" i="17" s="1"/>
  <c r="D29" i="2"/>
  <c r="D31" i="2" s="1"/>
  <c r="K14" i="2"/>
  <c r="C14" i="2"/>
  <c r="D19" i="17"/>
  <c r="G15" i="17"/>
  <c r="G21" i="17" s="1"/>
  <c r="G23" i="17" s="1"/>
  <c r="G24" i="17" s="1"/>
  <c r="E19" i="17"/>
  <c r="I19" i="17"/>
  <c r="H19" i="17"/>
  <c r="H21" i="17"/>
  <c r="H23" i="17" s="1"/>
  <c r="H24" i="17" s="1"/>
  <c r="J15" i="17"/>
  <c r="J21" i="17" s="1"/>
  <c r="J23" i="17" s="1"/>
  <c r="J24" i="17" s="1"/>
  <c r="F15" i="17"/>
  <c r="F21" i="17" s="1"/>
  <c r="F23" i="17" s="1"/>
  <c r="F24" i="17" s="1"/>
  <c r="I23" i="17"/>
  <c r="I24" i="17" s="1"/>
  <c r="E23" i="17"/>
  <c r="E24" i="17" s="1"/>
  <c r="L23" i="17"/>
  <c r="L24" i="17" s="1"/>
  <c r="K15" i="17"/>
  <c r="E14" i="2"/>
  <c r="D32" i="9" l="1"/>
  <c r="M32" i="9" s="1"/>
  <c r="I8" i="6" s="1"/>
  <c r="I6" i="6"/>
  <c r="D30" i="9"/>
  <c r="M30" i="9" s="1"/>
  <c r="K8" i="6" s="1"/>
  <c r="K6" i="6"/>
  <c r="K7" i="6" s="1"/>
  <c r="H8" i="4"/>
  <c r="H10" i="4" s="1"/>
  <c r="H12" i="4" s="1"/>
  <c r="H15" i="4" s="1"/>
  <c r="M23" i="9"/>
  <c r="R8" i="6" s="1"/>
  <c r="C18" i="6" s="1"/>
  <c r="L23" i="9"/>
  <c r="K23" i="9"/>
  <c r="F8" i="18"/>
  <c r="F10" i="18" s="1"/>
  <c r="F17" i="18" s="1"/>
  <c r="G8" i="4"/>
  <c r="G10" i="4" s="1"/>
  <c r="G12" i="4" s="1"/>
  <c r="G15" i="4" s="1"/>
  <c r="G23" i="4" s="1"/>
  <c r="E32" i="17"/>
  <c r="E33" i="17"/>
  <c r="C33" i="17"/>
  <c r="C32" i="17"/>
  <c r="C36" i="6"/>
  <c r="K40" i="2"/>
  <c r="K33" i="17"/>
  <c r="K32" i="17"/>
  <c r="C21" i="2"/>
  <c r="C40" i="2"/>
  <c r="E21" i="2"/>
  <c r="E40" i="2"/>
  <c r="K21" i="2"/>
  <c r="L35" i="18"/>
  <c r="D37" i="18"/>
  <c r="E36" i="18" s="1"/>
  <c r="E37" i="18" s="1"/>
  <c r="F36" i="18" s="1"/>
  <c r="F37" i="18" s="1"/>
  <c r="G36" i="18" s="1"/>
  <c r="G37" i="18" s="1"/>
  <c r="H36" i="18" s="1"/>
  <c r="H37" i="18" s="1"/>
  <c r="I36" i="18" s="1"/>
  <c r="I37" i="18" s="1"/>
  <c r="J36" i="18" s="1"/>
  <c r="J37" i="18" s="1"/>
  <c r="K36" i="18" s="1"/>
  <c r="K37" i="18" s="1"/>
  <c r="L36" i="18" s="1"/>
  <c r="L37" i="18" s="1"/>
  <c r="J23" i="4"/>
  <c r="J33" i="4"/>
  <c r="I23" i="4"/>
  <c r="I33" i="4"/>
  <c r="L15" i="4"/>
  <c r="F33" i="4"/>
  <c r="D33" i="4"/>
  <c r="K21" i="17"/>
  <c r="K23" i="17" s="1"/>
  <c r="K24" i="17" s="1"/>
  <c r="N7" i="6" l="1"/>
  <c r="J7" i="6"/>
  <c r="O7" i="6"/>
  <c r="Q7" i="6"/>
  <c r="I7" i="6"/>
  <c r="M7" i="6"/>
  <c r="P7" i="6"/>
  <c r="R7" i="6"/>
  <c r="L7" i="6"/>
  <c r="E5" i="4"/>
  <c r="E8" i="4" s="1"/>
  <c r="E10" i="4" s="1"/>
  <c r="E12" i="4" s="1"/>
  <c r="E15" i="4" s="1"/>
  <c r="E5" i="18"/>
  <c r="E8" i="18" s="1"/>
  <c r="E10" i="18" s="1"/>
  <c r="E17" i="18" s="1"/>
  <c r="E25" i="2"/>
  <c r="E29" i="2" s="1"/>
  <c r="E31" i="2" s="1"/>
  <c r="K5" i="18"/>
  <c r="K8" i="18" s="1"/>
  <c r="K10" i="18" s="1"/>
  <c r="K17" i="18" s="1"/>
  <c r="K35" i="18" s="1"/>
  <c r="K25" i="2"/>
  <c r="K29" i="2" s="1"/>
  <c r="K31" i="2" s="1"/>
  <c r="K5" i="4"/>
  <c r="K8" i="4" s="1"/>
  <c r="K10" i="4" s="1"/>
  <c r="K12" i="4" s="1"/>
  <c r="K15" i="4" s="1"/>
  <c r="K23" i="4" s="1"/>
  <c r="C5" i="18"/>
  <c r="C8" i="18" s="1"/>
  <c r="C10" i="18" s="1"/>
  <c r="C17" i="18" s="1"/>
  <c r="C25" i="2"/>
  <c r="C29" i="2" s="1"/>
  <c r="C31" i="2" s="1"/>
  <c r="C5" i="4"/>
  <c r="C8" i="4" s="1"/>
  <c r="C10" i="4" s="1"/>
  <c r="C12" i="4" s="1"/>
  <c r="C15" i="4" s="1"/>
  <c r="C23" i="4" s="1"/>
  <c r="L23" i="4"/>
  <c r="L33" i="4"/>
  <c r="H33" i="4"/>
  <c r="H23" i="4"/>
  <c r="G33" i="4"/>
  <c r="K33" i="4" l="1"/>
  <c r="C33" i="4"/>
  <c r="C35" i="4" s="1"/>
  <c r="D34" i="4" s="1"/>
  <c r="D35" i="4" s="1"/>
  <c r="E34" i="4" s="1"/>
  <c r="E23" i="4"/>
  <c r="E33" i="4"/>
  <c r="E35" i="4" l="1"/>
  <c r="F34" i="4" s="1"/>
  <c r="F35" i="4" s="1"/>
  <c r="G34" i="4" s="1"/>
  <c r="G35" i="4" s="1"/>
  <c r="H34" i="4" s="1"/>
  <c r="H35" i="4" s="1"/>
  <c r="I34" i="4" s="1"/>
  <c r="I35" i="4" s="1"/>
  <c r="J34" i="4" s="1"/>
  <c r="J35" i="4" s="1"/>
  <c r="K34" i="4" s="1"/>
  <c r="K35" i="4" s="1"/>
  <c r="L34" i="4" s="1"/>
  <c r="L3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tc={5DB44B86-EE6D-4EED-B978-7415C92BD8EB}</author>
  </authors>
  <commentList>
    <comment ref="H3" authorId="0" shapeId="0" xr:uid="{5DB44B86-EE6D-4EED-B978-7415C92B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Ability to toggle between.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tc={E6B9EBED-DD70-44AB-9909-E94A52560968}</author>
  </authors>
  <commentList>
    <comment ref="C26" authorId="0" shapeId="0" xr:uid="{E6B9EBED-DD70-44AB-9909-E94A5256096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income statement for 2014.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tc={7CB71A92-E5D8-41E3-BD8A-9834A36C830A}</author>
    <author>tc={612A4B50-9812-424B-B0F5-1EE1A6B5C13F}</author>
  </authors>
  <commentList>
    <comment ref="Q5" authorId="0" shapeId="0" xr:uid="{7CB71A92-E5D8-41E3-BD8A-9834A36C830A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Temporary.</t>
      </text>
    </comment>
    <comment ref="B14" authorId="1" shapeId="0" xr:uid="{612A4B50-9812-424B-B0F5-1EE1A6B5C13F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Hardcoded for now.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tc={57E4A381-40D9-43D8-BD40-AFF631BDEC7B}</author>
    <author>tc={3C48429E-0B69-4E85-98ED-C84D3233CCC8}</author>
    <author>tc={76BF33CD-E7B3-4B7B-9C7C-6F9DADD737BF}</author>
  </authors>
  <commentList>
    <comment ref="L3" authorId="0" shapeId="0" xr:uid="{57E4A381-40D9-43D8-BD40-AFF631BDEC7B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reference database.</t>
      </text>
    </comment>
    <comment ref="N3" authorId="1" shapeId="0" xr:uid="{3C48429E-0B69-4E85-98ED-C84D3233CCC8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reference database.</t>
      </text>
    </comment>
    <comment ref="S3" authorId="2" shapeId="0" xr:uid="{76BF33CD-E7B3-4B7B-9C7C-6F9DADD737BF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reference database.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tc={F0B3FA81-77AE-4BE6-BEDE-3A0A21DDA5CC}</author>
    <author>tc={A1F868CA-689E-4DFF-AABE-F3EE1A57F4CB}</author>
    <author>tc={BE460B7A-33BA-4C44-B886-2B01429DADA1}</author>
    <author>tc={DAFD3A49-45E7-4303-B4DA-B894DE5FB4D8}</author>
  </authors>
  <commentList>
    <comment ref="D4" authorId="0" shapeId="0" xr:uid="{F0B3FA81-77AE-4BE6-BEDE-3A0A21DDA5CC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be derived from comps M&amp;A multiple.</t>
      </text>
    </comment>
    <comment ref="D8" authorId="1" shapeId="0" xr:uid="{A1F868CA-689E-4DFF-AABE-F3EE1A57F4CB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link to separate comp M&amp;A transaction page that derives this.</t>
      </text>
    </comment>
    <comment ref="B12" authorId="2" shapeId="0" xr:uid="{BE460B7A-33BA-4C44-B886-2B01429DADA1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look to have built in DCF model, with ability to change assumptions. See FinChat modelling on stock page.</t>
      </text>
    </comment>
    <comment ref="N23" authorId="3" shapeId="0" xr:uid="{DAFD3A49-45E7-4303-B4DA-B894DE5FB4D8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be integrated.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tc={6785B489-6A2C-4304-A737-C91DF2376DD3}</author>
    <author>tc={97492A6D-62ED-48A4-8701-8928724A10EF}</author>
    <author>tc={5627DB2E-A891-4F35-BC84-3294558898E7}</author>
  </authors>
  <commentList>
    <comment ref="E5" authorId="0" shapeId="0" xr:uid="{6785B489-6A2C-4304-A737-C91DF2376DD3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look to index the follower count over a range of dates.</t>
      </text>
    </comment>
    <comment ref="E6" authorId="1" shapeId="0" xr:uid="{97492A6D-62ED-48A4-8701-8928724A10EF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look to provide engagement data.</t>
      </text>
    </comment>
    <comment ref="C28" authorId="2" shapeId="0" xr:uid="{5627DB2E-A891-4F35-BC84-3294558898E7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engagements = sum of likes and comments on post.</t>
      </text>
    </comment>
  </commentList>
</comments>
</file>

<file path=xl/sharedStrings.xml><?xml version="1.0" encoding="utf-8"?>
<sst xmlns="http://schemas.openxmlformats.org/spreadsheetml/2006/main" count="889" uniqueCount="564">
  <si>
    <t>Yes</t>
  </si>
  <si>
    <t>Comps</t>
  </si>
  <si>
    <t>Profit on Player Sales</t>
  </si>
  <si>
    <t>Operating Profit</t>
  </si>
  <si>
    <t>EBITDA</t>
  </si>
  <si>
    <t>Commercial</t>
  </si>
  <si>
    <t>Matchday</t>
  </si>
  <si>
    <t>Attendance</t>
  </si>
  <si>
    <t>Wages</t>
  </si>
  <si>
    <t>Management</t>
  </si>
  <si>
    <t>Player Amortization</t>
  </si>
  <si>
    <t>Wages + Amortization to Revenue</t>
  </si>
  <si>
    <t>Other Operating Expenses</t>
  </si>
  <si>
    <t>Transfer Spend</t>
  </si>
  <si>
    <t>Squad Cost</t>
  </si>
  <si>
    <t>Net Financial Debt</t>
  </si>
  <si>
    <t>Transfer Payables</t>
  </si>
  <si>
    <t>Transfer Receivables</t>
  </si>
  <si>
    <t>Net Transfer Debt</t>
  </si>
  <si>
    <t>Transfer Debt</t>
  </si>
  <si>
    <t>Cash Flow Statement</t>
  </si>
  <si>
    <t>Cash Balance</t>
  </si>
  <si>
    <t>Owner Financing</t>
  </si>
  <si>
    <t>Net Finance Costs</t>
  </si>
  <si>
    <t>Cash Flow From Operations</t>
  </si>
  <si>
    <t>Cash Flow from Financing</t>
  </si>
  <si>
    <t>Football Net Debt</t>
  </si>
  <si>
    <t>Net Financial Leverage Ratios</t>
  </si>
  <si>
    <t>WAI to Revenue</t>
  </si>
  <si>
    <t>Revenue Multiple</t>
  </si>
  <si>
    <t>Key Ratios</t>
  </si>
  <si>
    <t>Wage-to-Revenue</t>
  </si>
  <si>
    <t>Income Statement</t>
  </si>
  <si>
    <t>Liverpool FC</t>
  </si>
  <si>
    <t>Broadcasting</t>
  </si>
  <si>
    <t>Total Revenue</t>
  </si>
  <si>
    <t>Wages &amp; Salaries</t>
  </si>
  <si>
    <t>ADJ Ebitda</t>
  </si>
  <si>
    <t>Player Impairement</t>
  </si>
  <si>
    <t>Depreciation</t>
  </si>
  <si>
    <t>Property Impairement</t>
  </si>
  <si>
    <t>Goodwill Amortiziation &amp; Other</t>
  </si>
  <si>
    <t>ADJ EBIT</t>
  </si>
  <si>
    <t>Player Sale Profit</t>
  </si>
  <si>
    <t>Operating Profit/(Loss)</t>
  </si>
  <si>
    <t>Finance Income</t>
  </si>
  <si>
    <t>Finance Expenses</t>
  </si>
  <si>
    <t>Profit/(Loss) before Tax</t>
  </si>
  <si>
    <t>Tax Income/(Expense)</t>
  </si>
  <si>
    <t>Other Expenses to Revenue</t>
  </si>
  <si>
    <t>Cash: Start of Year</t>
  </si>
  <si>
    <t>Cash: End of Year</t>
  </si>
  <si>
    <t>Year</t>
  </si>
  <si>
    <t>Investment Type</t>
  </si>
  <si>
    <t>Buyer</t>
  </si>
  <si>
    <t>Name</t>
  </si>
  <si>
    <t>Seller</t>
  </si>
  <si>
    <t>Equity (%)</t>
  </si>
  <si>
    <t>EV / Revenue</t>
  </si>
  <si>
    <t>Implied EV (£M)</t>
  </si>
  <si>
    <t>Investment (£M)</t>
  </si>
  <si>
    <t>Buyside Adviser</t>
  </si>
  <si>
    <t>Sellside Adviser</t>
  </si>
  <si>
    <t>League Position</t>
  </si>
  <si>
    <t>LSE flotation (IPO)</t>
  </si>
  <si>
    <t>Public Investors</t>
  </si>
  <si>
    <t>Founders</t>
  </si>
  <si>
    <t>Moores Family</t>
  </si>
  <si>
    <t>6th (’91–’92)</t>
  </si>
  <si>
    <t>Hambros; SG Warburg‡</t>
  </si>
  <si>
    <t>David Moores / LFC plc</t>
  </si>
  <si>
    <t>Tom Hicks &amp; George Gillett</t>
  </si>
  <si>
    <t>Houlihan Lokey</t>
  </si>
  <si>
    <t>UBS</t>
  </si>
  <si>
    <t>Gillett &amp; Hicks (NESV)</t>
  </si>
  <si>
    <t>Fenway Sports Group</t>
  </si>
  <si>
    <t>6th (’10–’11)</t>
  </si>
  <si>
    <t>Credit Suisse</t>
  </si>
  <si>
    <t>Fenway in-house</t>
  </si>
  <si>
    <t>Dynasty Equity</t>
  </si>
  <si>
    <t>Morgan Stanley</t>
  </si>
  <si>
    <t>Takeover</t>
  </si>
  <si>
    <t>3rd (’06–’07)</t>
  </si>
  <si>
    <t>John W. Henry</t>
  </si>
  <si>
    <t>Rotschild</t>
  </si>
  <si>
    <t>7th (’09–’10)</t>
  </si>
  <si>
    <t>Lebron James</t>
  </si>
  <si>
    <t>Minority Investment</t>
  </si>
  <si>
    <t>Redbird Capital Partners</t>
  </si>
  <si>
    <t>4th (’20–’21)</t>
  </si>
  <si>
    <t>Revenue (£M)</t>
  </si>
  <si>
    <t>EBITDA (£M)</t>
  </si>
  <si>
    <t>5th (’22–’23)</t>
  </si>
  <si>
    <t>EV / EBITDA</t>
  </si>
  <si>
    <t>Club Overview Information</t>
  </si>
  <si>
    <t>Player Trading</t>
  </si>
  <si>
    <t>Social Media</t>
  </si>
  <si>
    <t>Inner Circle Sports</t>
  </si>
  <si>
    <t>Expenses</t>
  </si>
  <si>
    <t>Non Cash Flow Expenses</t>
  </si>
  <si>
    <t>Revenue</t>
  </si>
  <si>
    <t>Adjusted EBITDA</t>
  </si>
  <si>
    <t>Exceptional Cash Expenses</t>
  </si>
  <si>
    <t>CFO before △ in working capital</t>
  </si>
  <si>
    <t>Change in Working Capital</t>
  </si>
  <si>
    <t>CFO before Interest and Tax</t>
  </si>
  <si>
    <t>Net Cash Interest Payments</t>
  </si>
  <si>
    <t>Tax Payments</t>
  </si>
  <si>
    <t>Cash Flow from Operations</t>
  </si>
  <si>
    <t>Cash Flow From Investing</t>
  </si>
  <si>
    <t>Cash Flow from Investing</t>
  </si>
  <si>
    <t>Net Bank Loans (Repayments)</t>
  </si>
  <si>
    <t>Cash Flow before Financing</t>
  </si>
  <si>
    <t>Net Interest Payable</t>
  </si>
  <si>
    <t>Player sales</t>
  </si>
  <si>
    <t>Players Purchases</t>
  </si>
  <si>
    <t>Net Player Trading</t>
  </si>
  <si>
    <t>Net Cash Flow</t>
  </si>
  <si>
    <t>Other Operating Income</t>
  </si>
  <si>
    <t>Profit/(Loss) after Tax</t>
  </si>
  <si>
    <t>Wages to Revenue</t>
  </si>
  <si>
    <t>Adjusted EBITDA Margin</t>
  </si>
  <si>
    <t>Premier League</t>
  </si>
  <si>
    <t>UEFA</t>
  </si>
  <si>
    <t>Balance Sheet</t>
  </si>
  <si>
    <t>Player Purchases</t>
  </si>
  <si>
    <t>Player Sales</t>
  </si>
  <si>
    <t>Net Spend / (Sales)</t>
  </si>
  <si>
    <t>Owner Debt</t>
  </si>
  <si>
    <t>Gross Debt</t>
  </si>
  <si>
    <t>Cash</t>
  </si>
  <si>
    <t>Net Debt/ (Funds)</t>
  </si>
  <si>
    <t>Total Debt</t>
  </si>
  <si>
    <t>Contingent Transfer Fees</t>
  </si>
  <si>
    <t>Contenget Fees Receivable</t>
  </si>
  <si>
    <t>Net Unment Add-ons</t>
  </si>
  <si>
    <t>Contingent Fees Payable</t>
  </si>
  <si>
    <t>External Debt</t>
  </si>
  <si>
    <t>Debt</t>
  </si>
  <si>
    <t>FND less Owner Debt</t>
  </si>
  <si>
    <t>Exceptional Items</t>
  </si>
  <si>
    <t>Asset Sale Profit</t>
  </si>
  <si>
    <t>Net Transfer Debt / (Funds)</t>
  </si>
  <si>
    <t>Capex</t>
  </si>
  <si>
    <t>Operating Profit / (Loss)</t>
  </si>
  <si>
    <t>Depreciation, Amortization &amp; Impairement</t>
  </si>
  <si>
    <t>Profit on disposal of registrations</t>
  </si>
  <si>
    <t>Owner Loans</t>
  </si>
  <si>
    <t>Share Capital</t>
  </si>
  <si>
    <t>Dividends</t>
  </si>
  <si>
    <t>*Above to be edited.*</t>
  </si>
  <si>
    <t>*Only shows Debt + Player Trading*</t>
  </si>
  <si>
    <t>Key Insights Derived</t>
  </si>
  <si>
    <t>Wages + Player Amort'n</t>
  </si>
  <si>
    <t>Wages + Player Amort'n to Revenue</t>
  </si>
  <si>
    <t>Directors Remuneration (£k)</t>
  </si>
  <si>
    <t>Highest Paid Director (£k)</t>
  </si>
  <si>
    <t>Staff</t>
  </si>
  <si>
    <t>Directors</t>
  </si>
  <si>
    <t>Playing Staff</t>
  </si>
  <si>
    <t>Ground &amp; Maintenance</t>
  </si>
  <si>
    <t>Administration, Commercial &amp; Other</t>
  </si>
  <si>
    <t>Total Staff</t>
  </si>
  <si>
    <t>Total Full Time Staff</t>
  </si>
  <si>
    <t>Match Day Part Time</t>
  </si>
  <si>
    <t>Part Time Scouts &amp; Staff</t>
  </si>
  <si>
    <t>Wages and Salaries</t>
  </si>
  <si>
    <t>Social Secruity Costs</t>
  </si>
  <si>
    <t>Pension Costs</t>
  </si>
  <si>
    <t>Total Staffing Costs</t>
  </si>
  <si>
    <t>£000</t>
  </si>
  <si>
    <t>Season</t>
  </si>
  <si>
    <t>PL</t>
  </si>
  <si>
    <t>League</t>
  </si>
  <si>
    <t>FA Cup</t>
  </si>
  <si>
    <t>EFL Cup</t>
  </si>
  <si>
    <t>2021/22</t>
  </si>
  <si>
    <t>2022/23</t>
  </si>
  <si>
    <t>2023/24</t>
  </si>
  <si>
    <t>2020/21</t>
  </si>
  <si>
    <t>2019/20</t>
  </si>
  <si>
    <t>2018/19</t>
  </si>
  <si>
    <t>2017/18</t>
  </si>
  <si>
    <t>2016/17</t>
  </si>
  <si>
    <t>2015/16</t>
  </si>
  <si>
    <t>2014/15</t>
  </si>
  <si>
    <t>UEL Quaterfinal</t>
  </si>
  <si>
    <t>Quarterfinals</t>
  </si>
  <si>
    <t>Winners</t>
  </si>
  <si>
    <t>4th Round</t>
  </si>
  <si>
    <t>UCL Round of 16</t>
  </si>
  <si>
    <t>5th</t>
  </si>
  <si>
    <t>UCL Runners-Up</t>
  </si>
  <si>
    <t>Stadium Utilisation</t>
  </si>
  <si>
    <t>Capacity</t>
  </si>
  <si>
    <t>UEL Round of 32</t>
  </si>
  <si>
    <t>UEL Runners Up</t>
  </si>
  <si>
    <t>-</t>
  </si>
  <si>
    <t>UCL Runners Up</t>
  </si>
  <si>
    <t>UCL Winners</t>
  </si>
  <si>
    <t>UCL Quarterfinals</t>
  </si>
  <si>
    <t>Semi-finals</t>
  </si>
  <si>
    <t>5th Round</t>
  </si>
  <si>
    <t>3rd Round</t>
  </si>
  <si>
    <t>Runners-Up</t>
  </si>
  <si>
    <t>Key Insights</t>
  </si>
  <si>
    <t>Data Point #1</t>
  </si>
  <si>
    <t>Data Point #2</t>
  </si>
  <si>
    <t>League Place</t>
  </si>
  <si>
    <t>6th</t>
  </si>
  <si>
    <t>8th</t>
  </si>
  <si>
    <t>4th</t>
  </si>
  <si>
    <t>2nd</t>
  </si>
  <si>
    <t>1st</t>
  </si>
  <si>
    <t>3rd</t>
  </si>
  <si>
    <t>Average Squad Age</t>
  </si>
  <si>
    <t>Revenue Segment</t>
  </si>
  <si>
    <t>Squad Avg Age</t>
  </si>
  <si>
    <t>Title</t>
  </si>
  <si>
    <t>Against</t>
  </si>
  <si>
    <t>Profit/ (Loss) before Tax</t>
  </si>
  <si>
    <t>N/A</t>
  </si>
  <si>
    <t>Profit on Player Sales (£M)</t>
  </si>
  <si>
    <t>Data #1</t>
  </si>
  <si>
    <t>Data #2</t>
  </si>
  <si>
    <t>Purpose</t>
  </si>
  <si>
    <t>Profit / (Loss) before tax</t>
  </si>
  <si>
    <t>Years</t>
  </si>
  <si>
    <t>Revenue Trend</t>
  </si>
  <si>
    <t>Data #3</t>
  </si>
  <si>
    <t>Data #4</t>
  </si>
  <si>
    <t>Total</t>
  </si>
  <si>
    <t>Manchester United</t>
  </si>
  <si>
    <t>Manchester City</t>
  </si>
  <si>
    <t>Chelsea</t>
  </si>
  <si>
    <t>Tottenham</t>
  </si>
  <si>
    <t>Arsenal</t>
  </si>
  <si>
    <t>Each Revenue Segment</t>
  </si>
  <si>
    <t>Broadcasting (etc)</t>
  </si>
  <si>
    <t>Revenue Segment (EG Commercial)</t>
  </si>
  <si>
    <t>Comp Basket</t>
  </si>
  <si>
    <t>Comp Basket / League</t>
  </si>
  <si>
    <t>Attendances</t>
  </si>
  <si>
    <t>Example here:</t>
  </si>
  <si>
    <t>Wages to Turnover</t>
  </si>
  <si>
    <t>Highest Paid Director</t>
  </si>
  <si>
    <t>Director</t>
  </si>
  <si>
    <t>Full Time Staff</t>
  </si>
  <si>
    <t>Staffing Costs</t>
  </si>
  <si>
    <t>Player Amortisation</t>
  </si>
  <si>
    <t>Player Amortisation &amp; Impairement</t>
  </si>
  <si>
    <t>*Other individual stats*</t>
  </si>
  <si>
    <t>Net Spend</t>
  </si>
  <si>
    <t>Gross Transfer Spend</t>
  </si>
  <si>
    <t>Gross Financial Debt</t>
  </si>
  <si>
    <t>Net Debt</t>
  </si>
  <si>
    <t>Use of Funds</t>
  </si>
  <si>
    <t>Player Purchases (net)</t>
  </si>
  <si>
    <t>Interest</t>
  </si>
  <si>
    <t>Owner Funding</t>
  </si>
  <si>
    <t xml:space="preserve">Owner funding </t>
  </si>
  <si>
    <t>Owner funding over X time period</t>
  </si>
  <si>
    <t>Wage to revenue</t>
  </si>
  <si>
    <t>Wages + Amortization &amp; Impairement (Includingas % of revenue)</t>
  </si>
  <si>
    <t>WAI</t>
  </si>
  <si>
    <t>WAI / (Revenue + Player Sale Profit)</t>
  </si>
  <si>
    <t>Total Finance Income</t>
  </si>
  <si>
    <t>Total Finance Costs</t>
  </si>
  <si>
    <t>Need to add infastructure investment</t>
  </si>
  <si>
    <t>Cash flow before financing</t>
  </si>
  <si>
    <t>Net Capex</t>
  </si>
  <si>
    <t>Cash flow from financing</t>
  </si>
  <si>
    <t xml:space="preserve">Cash flow from financing </t>
  </si>
  <si>
    <t>Change in cash</t>
  </si>
  <si>
    <t>Net Debt / Adj EBITDA</t>
  </si>
  <si>
    <t>Net Bank Debt / Adj EBITDA</t>
  </si>
  <si>
    <t>Same as above:</t>
  </si>
  <si>
    <t>Staff / Revenue</t>
  </si>
  <si>
    <t>Company Overview</t>
  </si>
  <si>
    <t>CEO</t>
  </si>
  <si>
    <t>Website</t>
  </si>
  <si>
    <t>Country</t>
  </si>
  <si>
    <t>Year Founded</t>
  </si>
  <si>
    <t>AI Description of Liverpool FC.</t>
  </si>
  <si>
    <t>The Liverpool Football Club and Athletic Grounds Limited</t>
  </si>
  <si>
    <t>Owner(s)</t>
  </si>
  <si>
    <t>Owner Location</t>
  </si>
  <si>
    <t>USA</t>
  </si>
  <si>
    <t>UK</t>
  </si>
  <si>
    <t>Chairman</t>
  </si>
  <si>
    <t>Tom Werner</t>
  </si>
  <si>
    <t>Location:</t>
  </si>
  <si>
    <t>Liverpool</t>
  </si>
  <si>
    <t>www.liverpoolfc.com</t>
  </si>
  <si>
    <t>Billy Hogan</t>
  </si>
  <si>
    <t>Employees</t>
  </si>
  <si>
    <t>Valuation</t>
  </si>
  <si>
    <t>Profile</t>
  </si>
  <si>
    <t>Margins</t>
  </si>
  <si>
    <t>Growth</t>
  </si>
  <si>
    <t>Rev 3Yr</t>
  </si>
  <si>
    <t>Rev 5Yr</t>
  </si>
  <si>
    <t>Rev 10Yr</t>
  </si>
  <si>
    <t>EBITDA 3Yr</t>
  </si>
  <si>
    <t>EBITDA 5Yr</t>
  </si>
  <si>
    <t>EBITDA 10Yr</t>
  </si>
  <si>
    <t>Gross</t>
  </si>
  <si>
    <t>Operating</t>
  </si>
  <si>
    <t>Pre-Tax</t>
  </si>
  <si>
    <t>Net</t>
  </si>
  <si>
    <t>FCF</t>
  </si>
  <si>
    <t>Cost of sales</t>
  </si>
  <si>
    <t>Gross Profit</t>
  </si>
  <si>
    <t>Financial Health</t>
  </si>
  <si>
    <t>FND Less Owner Debt</t>
  </si>
  <si>
    <t>Football Net Debt (FND)</t>
  </si>
  <si>
    <t>FCF After Player Trading</t>
  </si>
  <si>
    <t>Chart Data</t>
  </si>
  <si>
    <t>Data Point</t>
  </si>
  <si>
    <t>Revenue % Chg</t>
  </si>
  <si>
    <t>EBITDA % Chg</t>
  </si>
  <si>
    <t>Executive Team</t>
  </si>
  <si>
    <t>Principal Owner</t>
  </si>
  <si>
    <t>Chief Executve Officer</t>
  </si>
  <si>
    <t>Manager (Coaching Staff)</t>
  </si>
  <si>
    <t>Managing Director</t>
  </si>
  <si>
    <t>Sporting Director</t>
  </si>
  <si>
    <t>Club Secretary</t>
  </si>
  <si>
    <t>Danny Stanway</t>
  </si>
  <si>
    <t>Arne Slot</t>
  </si>
  <si>
    <t>Andy Hughes</t>
  </si>
  <si>
    <t>Richard Hughes</t>
  </si>
  <si>
    <t>John Henry</t>
  </si>
  <si>
    <t>Mr M. Gordon</t>
  </si>
  <si>
    <t>Mr M. Egan</t>
  </si>
  <si>
    <t>Sir K. Dalglish</t>
  </si>
  <si>
    <t>Use Of Funds Data</t>
  </si>
  <si>
    <t>Valuation Calcs</t>
  </si>
  <si>
    <t>Other Valuation Sources</t>
  </si>
  <si>
    <t>Publication</t>
  </si>
  <si>
    <t>Valuation Table</t>
  </si>
  <si>
    <t>EBITDA Multiple</t>
  </si>
  <si>
    <t>MMM</t>
  </si>
  <si>
    <t>Forbes</t>
  </si>
  <si>
    <t>Football Benchmark</t>
  </si>
  <si>
    <t>Sportico</t>
  </si>
  <si>
    <t>Low</t>
  </si>
  <si>
    <t>High</t>
  </si>
  <si>
    <t>AI Recommended</t>
  </si>
  <si>
    <t>Revenue Comps</t>
  </si>
  <si>
    <t>EBITDA Comps</t>
  </si>
  <si>
    <t>DCF</t>
  </si>
  <si>
    <t>Markham Multivariate Model (MMM)</t>
  </si>
  <si>
    <t>Valuations Overview</t>
  </si>
  <si>
    <t>Insight</t>
  </si>
  <si>
    <t>Chart Type</t>
  </si>
  <si>
    <t>Revenue + Net Assets</t>
  </si>
  <si>
    <t>(Net Profit + Revenue) / Revenue</t>
  </si>
  <si>
    <t>MMM Valuation</t>
  </si>
  <si>
    <t>Net Assets</t>
  </si>
  <si>
    <t>Assets</t>
  </si>
  <si>
    <t>Liabilities</t>
  </si>
  <si>
    <t>Comps EBITDA Multiple</t>
  </si>
  <si>
    <t>Type</t>
  </si>
  <si>
    <t>Big Six</t>
  </si>
  <si>
    <t>Comps Revenue Multiple</t>
  </si>
  <si>
    <t>Compare different valuations</t>
  </si>
  <si>
    <t>2-D Bar Chart Plotted Horiziontally</t>
  </si>
  <si>
    <t>Revenue 20% Premium</t>
  </si>
  <si>
    <t>Revenue 50% Premium</t>
  </si>
  <si>
    <t>EBITDA 20% Premium</t>
  </si>
  <si>
    <t>EBITDA 50% Premium</t>
  </si>
  <si>
    <t>M&amp;A History</t>
  </si>
  <si>
    <t>(Company‐run listing)</t>
  </si>
  <si>
    <t>Liverpool FC  - Historical Revenue</t>
  </si>
  <si>
    <t>Avg</t>
  </si>
  <si>
    <t>Ownership</t>
  </si>
  <si>
    <t>Stake</t>
  </si>
  <si>
    <t>Ownership Arrangement Diagram</t>
  </si>
  <si>
    <t>Share Ownership Summary Table</t>
  </si>
  <si>
    <t>Ultimate Investor</t>
  </si>
  <si>
    <t>Mike Gordon</t>
  </si>
  <si>
    <t>RedBird Capital Partners (via Rouge Aggregator LP)</t>
  </si>
  <si>
    <t>~20-25 other investors (each &lt; 10%)</t>
  </si>
  <si>
    <t>% of Fenway Sports Group LLC</t>
  </si>
  <si>
    <t>Direct % of FSG Football Group</t>
  </si>
  <si>
    <t>Total Effective % of FSG Football Group</t>
  </si>
  <si>
    <t>Dynasty Equity Investmnet Vehicle</t>
  </si>
  <si>
    <t>Line Chart</t>
  </si>
  <si>
    <t>Clustered column chart</t>
  </si>
  <si>
    <t>Show annual depreciation</t>
  </si>
  <si>
    <t>Clustered column chart – bars for amortisation vs impairment</t>
  </si>
  <si>
    <t>Clustered column chart – vertical bars over years</t>
  </si>
  <si>
    <t>Line chart – squad cost by year</t>
  </si>
  <si>
    <t>Line chart – gross financial debt over time</t>
  </si>
  <si>
    <t>Clustered column chart – payables vs receivables vs net debt (as line)</t>
  </si>
  <si>
    <t>Multi-line chart – one line per ratio (use secondary axis if scales differ)</t>
  </si>
  <si>
    <t>100% stacked column chart – components of total FND each year</t>
  </si>
  <si>
    <t>Debt‐breakdown analysis</t>
  </si>
  <si>
    <t>Show leverage over time</t>
  </si>
  <si>
    <t>Historical transfer debt</t>
  </si>
  <si>
    <t>Historical debt levels</t>
  </si>
  <si>
    <t>Show squad cost trend</t>
  </si>
  <si>
    <t>Show transfer activity</t>
  </si>
  <si>
    <t>Trend analysis</t>
  </si>
  <si>
    <t>Show annual club expense</t>
  </si>
  <si>
    <t>Combo chart: clustered columns for purchases &amp; sales + line for net spend</t>
  </si>
  <si>
    <t>(EG Player Purchases, Owner Debt, Etc)</t>
  </si>
  <si>
    <t>Show how the club’s pre-tax profitability swings from year to year</t>
  </si>
  <si>
    <t>Clustered vertical column chart (X = Year; Y = £ Profit/(Loss) before tax)</t>
  </si>
  <si>
    <t>Compare the net gains from player trading across seasons</t>
  </si>
  <si>
    <t>Clustered vertical column chart (X = Season; Y = Profit on Player Sales)</t>
  </si>
  <si>
    <t>Illustrate the trend in core football operations earnings before financing and taxes</t>
  </si>
  <si>
    <t>Clustered vertical column chart (X = Year; Y = Operating Profit/(Loss))</t>
  </si>
  <si>
    <t>Combine absolute EBITDA with the underlying margin to show scale and efficiency over time</t>
  </si>
  <si>
    <t>Combo chart: clustered columns for EBITDA (£m) + line for EBITDA margin (%), with secondary Y-axis for the % series</t>
  </si>
  <si>
    <t>Reveal how each revenue stream contributes to total turnover and how the mix evolves annually</t>
  </si>
  <si>
    <t>100% stacked vertical column chart (X = Year; stacked % share of each segment)</t>
  </si>
  <si>
    <t>Track the absolute growth or decline in each revenue line individually</t>
  </si>
  <si>
    <t>Multi-line chart (X = Year; Y = Revenue £m; one line per segment)</t>
  </si>
  <si>
    <t>Show annual payroll expense trends</t>
  </si>
  <si>
    <t>Clustered vertical column chart (X = Year; Y = Total Wages £m)</t>
  </si>
  <si>
    <t>Single-series line chart (X = Year; Y = Wages-to-Revenue %)</t>
  </si>
  <si>
    <t>Measure how player costs scale relative to income over time</t>
  </si>
  <si>
    <t>Combine cash and non-cash player costs and show what share they take of overall revenues</t>
  </si>
  <si>
    <t>Combo chart: clustered columns for WAI (£m) + line for WAI-to-Revenue (%) on secondary axis</t>
  </si>
  <si>
    <t>Clustered vertical column chart (X = Year; Y = £; three series: finance income, finance costs, net finance costs)</t>
  </si>
  <si>
    <t>Compare income vs costs on financing and isolate actual cash interest outflow</t>
  </si>
  <si>
    <t>Wait-to-revenue (%)</t>
  </si>
  <si>
    <t>Wages-to revenue (%)</t>
  </si>
  <si>
    <t>Matchday, Broadcasting, Commercial, Total revenue</t>
  </si>
  <si>
    <t>Operating Profit/ (loss)</t>
  </si>
  <si>
    <t>EBITDA Margin (%)</t>
  </si>
  <si>
    <t>Show how the club’s closing cash position moves year-on-year</t>
  </si>
  <si>
    <t>Compare the club’s main cash outflows in each period</t>
  </si>
  <si>
    <t>Illustrate equity injections or owner loans provided over time</t>
  </si>
  <si>
    <t>Track the club’s cash generation from core operations</t>
  </si>
  <si>
    <t>Show cash available prior to any financing-related inflows/outflows</t>
  </si>
  <si>
    <t>Combine absolute net capex with its share of revenues to gauge investment intensity</t>
  </si>
  <si>
    <t>Show how financing activities rebuild (or deplete) cash and reconcile to the net cash movement</t>
  </si>
  <si>
    <t>Net capex</t>
  </si>
  <si>
    <t>Net capex / revenue (%)</t>
  </si>
  <si>
    <t>Line chart (X = Year; Y = Cash balance £m)</t>
  </si>
  <si>
    <t>Stacked column chart (X = Year; stacked series = Net purchases, Capex, Interest)</t>
  </si>
  <si>
    <t>Clustered column chart (X = Year; Y = Owner funding £m)</t>
  </si>
  <si>
    <t>Line chart (X = Year; Y = CFO £m)</t>
  </si>
  <si>
    <t>Line chart (X = Year; Y = Cash flow pre-financing £m)</t>
  </si>
  <si>
    <t>Combo chart: clustered columns for Net Capex (£m) + line for Net Capex/Revenue (%)</t>
  </si>
  <si>
    <t>Waterfall chart (shows start = pre-financing cash, financing inflows/outflows, end = change in cash)</t>
  </si>
  <si>
    <t>Clustered vertical column chart - (X = Year; Y = Highest paid director’s total pay in £m)</t>
  </si>
  <si>
    <t>Show how the top executive’s remuneration has changed over time</t>
  </si>
  <si>
    <t>Total Full Time Staff (headcount)</t>
  </si>
  <si>
    <t>Single-series line chart - (X = Year; Y = FTE headcount)</t>
  </si>
  <si>
    <t>Illustrate the trend in overall workforce size year-on-year</t>
  </si>
  <si>
    <t>Track how total payroll expense evolves as the business grows</t>
  </si>
  <si>
    <t>Single-series column chart - (X = Year; Y = Total staffing cost in £m)</t>
  </si>
  <si>
    <t>1Yr (individual season) / 5-10 yrs</t>
  </si>
  <si>
    <t>Chart Type 1 Yr</t>
  </si>
  <si>
    <t>Chart Type 5-10Yrs</t>
  </si>
  <si>
    <t>Horizontal bar chart – rank clubs by metric</t>
  </si>
  <si>
    <t>Multi-line chart – one line per club showing metric trend over time</t>
  </si>
  <si>
    <t>Comparsion clubs that are suggested to draw insights from (For Liverpool FC)</t>
  </si>
  <si>
    <t>Liverpool FC On The Pitch</t>
  </si>
  <si>
    <t>Key Insight</t>
  </si>
  <si>
    <t>Wages-to-Turnover (%)</t>
  </si>
  <si>
    <t>Wages-to-Turnover Ratio vs League Place</t>
  </si>
  <si>
    <t>Average Squad Age vs League Place</t>
  </si>
  <si>
    <t>Revenue Segment Mix vs League Place</t>
  </si>
  <si>
    <t>See if a younger or more experienced squad correlates with a better league finish</t>
  </si>
  <si>
    <t>Show whether clubs that spend a smaller share of revenue on wages tend to finish higher in the table</t>
  </si>
  <si>
    <t>Examine whether certain clubs’ revenue mixes (e.g. broadcast or matchday) increase with success</t>
  </si>
  <si>
    <t>Demographics &amp; Socials</t>
  </si>
  <si>
    <t>Facebook</t>
  </si>
  <si>
    <t>Platform</t>
  </si>
  <si>
    <t>Instagram</t>
  </si>
  <si>
    <t>TikTok</t>
  </si>
  <si>
    <t>Twitter</t>
  </si>
  <si>
    <t>Youtube</t>
  </si>
  <si>
    <t>Weibo</t>
  </si>
  <si>
    <t>Followers</t>
  </si>
  <si>
    <t>Dates</t>
  </si>
  <si>
    <t>Posting Activity</t>
  </si>
  <si>
    <t>Etc</t>
  </si>
  <si>
    <t>Demographics</t>
  </si>
  <si>
    <t>City / Metro Population</t>
  </si>
  <si>
    <t>Metric</t>
  </si>
  <si>
    <t>Description</t>
  </si>
  <si>
    <t>Result</t>
  </si>
  <si>
    <t>Source</t>
  </si>
  <si>
    <t>Engagement</t>
  </si>
  <si>
    <t>Clubs per City</t>
  </si>
  <si>
    <t>Attendance per Capita</t>
  </si>
  <si>
    <t>Avg House Price (within 15 mi of Stadium)</t>
  </si>
  <si>
    <t>Median Hosehold Income</t>
  </si>
  <si>
    <t>Tourist Visits per Year</t>
  </si>
  <si>
    <t>GDP per Capita</t>
  </si>
  <si>
    <t>Number of Corporate HQs</t>
  </si>
  <si>
    <t>Public Transport Accessibility Score</t>
  </si>
  <si>
    <t>Youth Population (U18 %)</t>
  </si>
  <si>
    <t>Digital Penetration</t>
  </si>
  <si>
    <t>Followers by Platform</t>
  </si>
  <si>
    <t>Followers over time</t>
  </si>
  <si>
    <t>23 per 1,000 residents</t>
  </si>
  <si>
    <t>68/100</t>
  </si>
  <si>
    <t>Population of the Liverpool City Region metropolitan area</t>
  </si>
  <si>
    <t>Wikipedia: “Liverpool City Region”</t>
  </si>
  <si>
    <t>Premier League club list &amp; Wikipedia “Liverpool”</t>
  </si>
  <si>
    <t>Top-flight (Premier League) professional clubs: Liverpool FC &amp; Everton FC</t>
  </si>
  <si>
    <t>2023/24 avg home attendance (~52,000) ÷ metro population</t>
  </si>
  <si>
    <t>Premier League: average attendance; Population above</t>
  </si>
  <si>
    <t>Mean residential property value in the wider Liverpool region</t>
  </si>
  <si>
    <t>UK Land Registry / Rightmove</t>
  </si>
  <si>
    <t>Median gross household income in the Liverpool City Region</t>
  </si>
  <si>
    <t>ONS: Annual Survey of Hours and Earnings</t>
  </si>
  <si>
    <t>Total visitor numbers (incl. day-trips) to Liverpool in 2019</t>
  </si>
  <si>
    <t>VisitBritain / Liverpool City Council</t>
  </si>
  <si>
    <t>ONS: Regional GDP by Local Enterprise Partnership</t>
  </si>
  <si>
    <t>Gross value added per head in the Liverpool City Region</t>
  </si>
  <si>
    <t>No FTSE 100 or Fortune 500 company HQs based in Liverpool; some national HQs (e.g. M &amp; S outlet HQ)</t>
  </si>
  <si>
    <t>FTSE 100 company HQ listings; Wikipedia</t>
  </si>
  <si>
    <t>Transport for Liverpool / Citymapper Mobility Index</t>
  </si>
  <si>
    <t>% of metro population within a 15-minute public transport journey of Anfield</t>
  </si>
  <si>
    <t>Share of residents under 18 years old</t>
  </si>
  <si>
    <t>ONS mid-year population estimates</t>
  </si>
  <si>
    <t>% of households with fixed broadband or smartphone access in the Liverpool City Region</t>
  </si>
  <si>
    <t>Ofcom Connected Nations report</t>
  </si>
  <si>
    <t>Compare LFC's reach across platforms</t>
  </si>
  <si>
    <t>Pie Chart</t>
  </si>
  <si>
    <t>Show development of total followers</t>
  </si>
  <si>
    <t>Months</t>
  </si>
  <si>
    <t>Total Followers</t>
  </si>
  <si>
    <t>[Total engagemnets] / [Total posts] / [Followers]</t>
  </si>
  <si>
    <t>Engagement per Post VS Months</t>
  </si>
  <si>
    <t>Show how engagemnt maps across time.</t>
  </si>
  <si>
    <t>Avg Attendance</t>
  </si>
  <si>
    <t>Metro Population</t>
  </si>
  <si>
    <t>Gauge chart or bar chart</t>
  </si>
  <si>
    <t>Reveal how intensely the local population supports home matches</t>
  </si>
  <si>
    <t>MCO Links</t>
  </si>
  <si>
    <t>Arctos</t>
  </si>
  <si>
    <t>Lebron James &amp; Maverick Carter</t>
  </si>
  <si>
    <t>Date Bought</t>
  </si>
  <si>
    <t>Other Sporting Asset</t>
  </si>
  <si>
    <t>Country / League</t>
  </si>
  <si>
    <t>Boston Red Sox</t>
  </si>
  <si>
    <t>USA / MLB</t>
  </si>
  <si>
    <t>Pittsburgh Penguins</t>
  </si>
  <si>
    <t>USA / NHL</t>
  </si>
  <si>
    <t>RFK Racing</t>
  </si>
  <si>
    <t>USA / NASCAR</t>
  </si>
  <si>
    <t>Private (50% JV)</t>
  </si>
  <si>
    <t>PGA Tour Enterprises</t>
  </si>
  <si>
    <t>Glboal / Golf</t>
  </si>
  <si>
    <t>Boston Common Golf</t>
  </si>
  <si>
    <t>USA / TGL Golf League</t>
  </si>
  <si>
    <t>New England Sports Network</t>
  </si>
  <si>
    <t>Current Valuation ($B)</t>
  </si>
  <si>
    <t>Stake Valuation ($B)</t>
  </si>
  <si>
    <t>USA / Regional Sports Network</t>
  </si>
  <si>
    <t>Valuation (£M)</t>
  </si>
  <si>
    <t>Gerry Cardinale</t>
  </si>
  <si>
    <r>
      <t>XY Scatter plot</t>
    </r>
    <r>
      <rPr>
        <sz val="9"/>
        <color theme="1"/>
        <rFont val="Arial"/>
        <family val="2"/>
      </rPr>
      <t xml:space="preserve"> (X = Wages-to-Turnover %; Y = League Position, with axis inverted so 1st place appears at top)</t>
    </r>
  </si>
  <si>
    <r>
      <t>XY Scatter plot</t>
    </r>
    <r>
      <rPr>
        <sz val="9"/>
        <color theme="1"/>
        <rFont val="Arial"/>
        <family val="2"/>
      </rPr>
      <t xml:space="preserve"> (X = Average squad age; Y = League Position, inverted axis as above)</t>
    </r>
  </si>
  <si>
    <r>
      <t>XY Scatter plot</t>
    </r>
    <r>
      <rPr>
        <sz val="9"/>
        <color theme="1"/>
        <rFont val="Arial"/>
        <family val="2"/>
      </rPr>
      <t xml:space="preserve"> (X = Revenu Segment Metric; Y = League Position, inverted axis as above)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</si>
</sst>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  <numFmt numFmtId="165" formatCode="0.0&quot;x&quot;"/>
    <numFmt numFmtId="166" formatCode="0.000"/>
    <numFmt numFmtId="167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u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9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2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u/>
      <sz val="1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2"/>
      <name val="Arial"/>
      <family val="2"/>
    </font>
    <font>
      <b/>
      <u/>
      <sz val="11"/>
      <color theme="1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B7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1" fillId="0" borderId="0" xfId="2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164" fontId="6" fillId="0" borderId="0" xfId="0" applyNumberFormat="1" applyFont="1"/>
    <xf numFmtId="0" fontId="6" fillId="0" borderId="1" xfId="0" applyFont="1" applyBorder="1"/>
    <xf numFmtId="0" fontId="9" fillId="0" borderId="1" xfId="0" applyFont="1" applyBorder="1"/>
    <xf numFmtId="0" fontId="13" fillId="6" borderId="0" xfId="0" applyFont="1" applyFill="1"/>
    <xf numFmtId="0" fontId="9" fillId="6" borderId="2" xfId="0" applyFont="1" applyFill="1" applyBorder="1"/>
    <xf numFmtId="0" fontId="6" fillId="0" borderId="3" xfId="0" applyFont="1" applyBorder="1"/>
    <xf numFmtId="0" fontId="13" fillId="4" borderId="0" xfId="0" applyFont="1" applyFill="1"/>
    <xf numFmtId="0" fontId="9" fillId="4" borderId="4" xfId="0" applyFont="1" applyFill="1" applyBorder="1"/>
    <xf numFmtId="0" fontId="13" fillId="7" borderId="0" xfId="0" applyFont="1" applyFill="1"/>
    <xf numFmtId="0" fontId="13" fillId="5" borderId="0" xfId="0" applyFont="1" applyFill="1"/>
    <xf numFmtId="0" fontId="9" fillId="5" borderId="1" xfId="0" applyFont="1" applyFill="1" applyBorder="1"/>
    <xf numFmtId="0" fontId="14" fillId="0" borderId="0" xfId="0" applyFont="1"/>
    <xf numFmtId="0" fontId="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9" fillId="7" borderId="0" xfId="0" applyFont="1" applyFill="1"/>
    <xf numFmtId="0" fontId="13" fillId="8" borderId="0" xfId="0" applyFont="1" applyFill="1"/>
    <xf numFmtId="0" fontId="9" fillId="8" borderId="1" xfId="0" applyFont="1" applyFill="1" applyBorder="1"/>
    <xf numFmtId="0" fontId="15" fillId="9" borderId="0" xfId="0" applyFont="1" applyFill="1"/>
    <xf numFmtId="0" fontId="10" fillId="5" borderId="0" xfId="0" applyFont="1" applyFill="1"/>
    <xf numFmtId="0" fontId="10" fillId="5" borderId="1" xfId="0" applyFont="1" applyFill="1" applyBorder="1"/>
    <xf numFmtId="0" fontId="10" fillId="2" borderId="0" xfId="0" applyFont="1" applyFill="1"/>
    <xf numFmtId="0" fontId="10" fillId="2" borderId="1" xfId="0" applyFont="1" applyFill="1" applyBorder="1"/>
    <xf numFmtId="0" fontId="10" fillId="0" borderId="1" xfId="0" applyFont="1" applyBorder="1"/>
    <xf numFmtId="0" fontId="10" fillId="4" borderId="0" xfId="0" applyFont="1" applyFill="1"/>
    <xf numFmtId="0" fontId="10" fillId="4" borderId="1" xfId="0" applyFont="1" applyFill="1" applyBorder="1"/>
    <xf numFmtId="0" fontId="5" fillId="0" borderId="1" xfId="0" applyFont="1" applyBorder="1"/>
    <xf numFmtId="0" fontId="10" fillId="7" borderId="0" xfId="0" applyFont="1" applyFill="1"/>
    <xf numFmtId="0" fontId="10" fillId="7" borderId="1" xfId="0" applyFont="1" applyFill="1" applyBorder="1"/>
    <xf numFmtId="0" fontId="10" fillId="3" borderId="1" xfId="0" applyFont="1" applyFill="1" applyBorder="1"/>
    <xf numFmtId="9" fontId="5" fillId="0" borderId="0" xfId="1" applyFont="1"/>
    <xf numFmtId="9" fontId="10" fillId="0" borderId="1" xfId="1" applyFont="1" applyBorder="1"/>
    <xf numFmtId="0" fontId="7" fillId="9" borderId="0" xfId="0" applyFont="1" applyFill="1"/>
    <xf numFmtId="0" fontId="14" fillId="6" borderId="0" xfId="0" applyFont="1" applyFill="1"/>
    <xf numFmtId="0" fontId="10" fillId="6" borderId="2" xfId="0" applyFont="1" applyFill="1" applyBorder="1"/>
    <xf numFmtId="164" fontId="5" fillId="0" borderId="0" xfId="0" applyNumberFormat="1" applyFont="1"/>
    <xf numFmtId="0" fontId="5" fillId="0" borderId="3" xfId="0" applyFont="1" applyBorder="1"/>
    <xf numFmtId="0" fontId="14" fillId="4" borderId="0" xfId="0" applyFont="1" applyFill="1"/>
    <xf numFmtId="0" fontId="10" fillId="4" borderId="4" xfId="0" applyFont="1" applyFill="1" applyBorder="1"/>
    <xf numFmtId="0" fontId="14" fillId="7" borderId="0" xfId="0" applyFont="1" applyFill="1"/>
    <xf numFmtId="0" fontId="14" fillId="5" borderId="0" xfId="0" applyFont="1" applyFill="1"/>
    <xf numFmtId="0" fontId="14" fillId="8" borderId="0" xfId="0" applyFont="1" applyFill="1"/>
    <xf numFmtId="0" fontId="10" fillId="8" borderId="1" xfId="0" applyFont="1" applyFill="1" applyBorder="1"/>
    <xf numFmtId="9" fontId="0" fillId="0" borderId="0" xfId="0" applyNumberFormat="1"/>
    <xf numFmtId="0" fontId="24" fillId="0" borderId="0" xfId="0" applyFont="1"/>
    <xf numFmtId="9" fontId="7" fillId="0" borderId="0" xfId="1" applyFont="1"/>
    <xf numFmtId="49" fontId="5" fillId="0" borderId="0" xfId="0" applyNumberFormat="1" applyFont="1" applyAlignment="1">
      <alignment horizontal="right"/>
    </xf>
    <xf numFmtId="166" fontId="5" fillId="0" borderId="0" xfId="0" applyNumberFormat="1" applyFont="1"/>
    <xf numFmtId="167" fontId="9" fillId="0" borderId="1" xfId="0" applyNumberFormat="1" applyFont="1" applyBorder="1"/>
    <xf numFmtId="1" fontId="5" fillId="0" borderId="0" xfId="0" applyNumberFormat="1" applyFont="1"/>
    <xf numFmtId="9" fontId="5" fillId="0" borderId="0" xfId="0" applyNumberFormat="1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9" fontId="5" fillId="0" borderId="0" xfId="1" applyFont="1" applyAlignment="1">
      <alignment horizontal="righ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9" fontId="5" fillId="0" borderId="0" xfId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0" fontId="25" fillId="0" borderId="0" xfId="2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" xfId="1" applyFont="1" applyBorder="1"/>
    <xf numFmtId="9" fontId="5" fillId="0" borderId="0" xfId="1" applyFont="1" applyBorder="1"/>
    <xf numFmtId="165" fontId="5" fillId="0" borderId="0" xfId="0" applyNumberFormat="1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3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44" fontId="24" fillId="0" borderId="0" xfId="0" applyNumberFormat="1" applyFont="1" applyAlignment="1">
      <alignment horizontal="right"/>
    </xf>
    <xf numFmtId="0" fontId="29" fillId="0" borderId="0" xfId="0" applyFont="1"/>
    <xf numFmtId="9" fontId="24" fillId="0" borderId="0" xfId="1" applyFont="1" applyAlignment="1">
      <alignment horizontal="right"/>
    </xf>
    <xf numFmtId="14" fontId="28" fillId="0" borderId="0" xfId="0" applyNumberFormat="1" applyFont="1"/>
    <xf numFmtId="0" fontId="30" fillId="0" borderId="0" xfId="0" applyFont="1"/>
    <xf numFmtId="0" fontId="31" fillId="0" borderId="0" xfId="0" applyFont="1"/>
    <xf numFmtId="0" fontId="10" fillId="0" borderId="3" xfId="0" applyFont="1" applyBorder="1"/>
    <xf numFmtId="0" fontId="22" fillId="0" borderId="0" xfId="0" applyFont="1" applyAlignment="1">
      <alignment horizontal="left"/>
    </xf>
    <xf numFmtId="0" fontId="22" fillId="0" borderId="1" xfId="0" applyFont="1" applyBorder="1"/>
    <xf numFmtId="0" fontId="32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4A4A54"/>
      <color rgb="FF404048"/>
      <color rgb="FF5399D9"/>
      <color rgb="FF2C2C34"/>
      <color rgb="FF0E30D8"/>
      <color rgb="FF0000E6"/>
      <color rgb="FFFFFFB7"/>
      <color rgb="FFFFFFC9"/>
      <color rgb="FFBEE3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Overview!$H$4</c:f>
              <c:strCache>
                <c:ptCount val="1"/>
                <c:pt idx="0">
                  <c:v>Revenue</c:v>
                </c:pt>
              </c:strCache>
            </c:strRef>
          </c:tx>
          <c:spPr>
            <a:gradFill>
              <a:gsLst>
                <a:gs pos="0">
                  <a:schemeClr val="tx2">
                    <a:lumMod val="10000"/>
                    <a:lumOff val="90000"/>
                    <a:alpha val="70000"/>
                  </a:schemeClr>
                </a:gs>
                <a:gs pos="76000">
                  <a:schemeClr val="tx2">
                    <a:lumMod val="75000"/>
                    <a:lumOff val="25000"/>
                    <a:alpha val="80000"/>
                  </a:schemeClr>
                </a:gs>
                <a:gs pos="29000">
                  <a:schemeClr val="tx2">
                    <a:lumMod val="25000"/>
                    <a:lumOff val="75000"/>
                    <a:alpha val="70000"/>
                  </a:schemeClr>
                </a:gs>
                <a:gs pos="100000">
                  <a:schemeClr val="tx2">
                    <a:lumMod val="90000"/>
                    <a:lumOff val="10000"/>
                    <a:alpha val="80000"/>
                  </a:schemeClr>
                </a:gs>
              </a:gsLst>
              <a:lin ang="5400000" scaled="1"/>
            </a:gradFill>
            <a:ln w="28575">
              <a:noFill/>
            </a:ln>
            <a:effectLst/>
          </c:spPr>
          <c:cat>
            <c:numRef>
              <c:f>Overview!$I$3:$R$3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Overview!$I$4:$R$4</c:f>
              <c:numCache>
                <c:formatCode>General</c:formatCode>
                <c:ptCount val="10"/>
                <c:pt idx="0">
                  <c:v>298</c:v>
                </c:pt>
                <c:pt idx="1">
                  <c:v>301.7</c:v>
                </c:pt>
                <c:pt idx="2">
                  <c:v>364.5</c:v>
                </c:pt>
                <c:pt idx="3">
                  <c:v>455.1</c:v>
                </c:pt>
                <c:pt idx="4">
                  <c:v>533</c:v>
                </c:pt>
                <c:pt idx="5">
                  <c:v>489.9</c:v>
                </c:pt>
                <c:pt idx="6">
                  <c:v>487.30000000000007</c:v>
                </c:pt>
                <c:pt idx="7">
                  <c:v>594.29999999999995</c:v>
                </c:pt>
                <c:pt idx="8">
                  <c:v>593.9</c:v>
                </c:pt>
                <c:pt idx="9">
                  <c:v>613.79999999999995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4-49FC-BC5C-34D2A2E84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252672"/>
        <c:axId val="1074250152"/>
      </c:areaChart>
      <c:catAx>
        <c:axId val="10742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4A4A54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250152"/>
        <c:crosses val="autoZero"/>
        <c:auto val="1"/>
        <c:lblAlgn val="ctr"/>
        <c:lblOffset val="100"/>
        <c:noMultiLvlLbl val="0"/>
      </c:catAx>
      <c:valAx>
        <c:axId val="107425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4A4A54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252672"/>
        <c:crossesAt val="1"/>
        <c:crossBetween val="midCat"/>
      </c:valAx>
      <c:spPr>
        <a:noFill/>
        <a:ln>
          <a:solidFill>
            <a:srgbClr val="4A4A54"/>
          </a:solidFill>
        </a:ln>
        <a:effectLst/>
      </c:spPr>
    </c:plotArea>
    <c:plotVisOnly val="1"/>
    <c:dispBlanksAs val="gap"/>
    <c:showDLblsOverMax val="0"/>
  </c:chart>
  <c:spPr>
    <a:solidFill>
      <a:srgbClr val="2C2C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Liverpool - Adjusted</a:t>
            </a:r>
            <a:r>
              <a:rPr lang="en-GB" sz="9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EBITDA (in £m) and EBITDA Margin</a:t>
            </a:r>
            <a:endParaRPr lang="en-GB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Statement'!$B$14</c:f>
              <c:strCache>
                <c:ptCount val="1"/>
                <c:pt idx="0">
                  <c:v>ADJ Ebitda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'Income Statement'!$C$3:$L$3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'Income Statement'!$C$14:$L$14</c:f>
              <c:numCache>
                <c:formatCode>General</c:formatCode>
                <c:ptCount val="10"/>
                <c:pt idx="0">
                  <c:v>73</c:v>
                </c:pt>
                <c:pt idx="1">
                  <c:v>35.199999999999989</c:v>
                </c:pt>
                <c:pt idx="2">
                  <c:v>73.5</c:v>
                </c:pt>
                <c:pt idx="3">
                  <c:v>94.699999999999989</c:v>
                </c:pt>
                <c:pt idx="4">
                  <c:v>123.40000000000003</c:v>
                </c:pt>
                <c:pt idx="5">
                  <c:v>41.699999999999932</c:v>
                </c:pt>
                <c:pt idx="6">
                  <c:v>77.10000000000008</c:v>
                </c:pt>
                <c:pt idx="7">
                  <c:v>96.39999999999992</c:v>
                </c:pt>
                <c:pt idx="8">
                  <c:v>83.800000000000011</c:v>
                </c:pt>
                <c:pt idx="9">
                  <c:v>60.599999999999909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A-488D-B808-006D4E2FB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873000"/>
        <c:axId val="1248873720"/>
      </c:barChart>
      <c:lineChart>
        <c:grouping val="standard"/>
        <c:varyColors val="0"/>
        <c:ser>
          <c:idx val="1"/>
          <c:order val="1"/>
          <c:tx>
            <c:strRef>
              <c:f>'Income Statement'!$B$40</c:f>
              <c:strCache>
                <c:ptCount val="1"/>
                <c:pt idx="0">
                  <c:v>Adjusted EBITDA Margin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'Income Statement'!$C$40:$L$40</c:f>
              <c:numCache>
                <c:formatCode>0%</c:formatCode>
                <c:ptCount val="10"/>
                <c:pt idx="0">
                  <c:v>0.24496644295302014</c:v>
                </c:pt>
                <c:pt idx="1">
                  <c:v>0.11667219091813057</c:v>
                </c:pt>
                <c:pt idx="2">
                  <c:v>0.20164609053497942</c:v>
                </c:pt>
                <c:pt idx="3">
                  <c:v>0.20808613491540318</c:v>
                </c:pt>
                <c:pt idx="4">
                  <c:v>0.2315196998123828</c:v>
                </c:pt>
                <c:pt idx="5">
                  <c:v>8.5119412124923313E-2</c:v>
                </c:pt>
                <c:pt idx="6">
                  <c:v>0.15821875641288749</c:v>
                </c:pt>
                <c:pt idx="7">
                  <c:v>0.16220763923944123</c:v>
                </c:pt>
                <c:pt idx="8">
                  <c:v>0.14110119548745584</c:v>
                </c:pt>
                <c:pt idx="9">
                  <c:v>9.8729227761485683E-2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A-488D-B808-006D4E2FB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516416"/>
        <c:axId val="1487517136"/>
      </c:lineChart>
      <c:catAx>
        <c:axId val="124887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73720"/>
        <c:crosses val="autoZero"/>
        <c:auto val="1"/>
        <c:lblAlgn val="ctr"/>
        <c:lblOffset val="100"/>
        <c:noMultiLvlLbl val="0"/>
      </c:catAx>
      <c:valAx>
        <c:axId val="124887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873000"/>
        <c:crosses val="autoZero"/>
        <c:crossBetween val="between"/>
      </c:valAx>
      <c:valAx>
        <c:axId val="148751713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516416"/>
        <c:crosses val="max"/>
        <c:crossBetween val="between"/>
      </c:valAx>
      <c:catAx>
        <c:axId val="14875164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7517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Liverpool FC - Transfer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Sheet'!$B$5</c:f>
              <c:strCache>
                <c:ptCount val="1"/>
                <c:pt idx="0">
                  <c:v>Player Purchases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Sheet'!$C$5:$L$5</c:f>
              <c:numCache>
                <c:formatCode>General</c:formatCode>
                <c:ptCount val="10"/>
                <c:pt idx="0">
                  <c:v>135</c:v>
                </c:pt>
                <c:pt idx="1">
                  <c:v>101.8</c:v>
                </c:pt>
                <c:pt idx="2">
                  <c:v>76.3</c:v>
                </c:pt>
                <c:pt idx="3">
                  <c:v>195.2</c:v>
                </c:pt>
                <c:pt idx="4">
                  <c:v>223</c:v>
                </c:pt>
                <c:pt idx="5">
                  <c:v>29.3</c:v>
                </c:pt>
                <c:pt idx="6">
                  <c:v>136.1</c:v>
                </c:pt>
                <c:pt idx="7">
                  <c:v>68.7</c:v>
                </c:pt>
                <c:pt idx="8">
                  <c:v>133.5</c:v>
                </c:pt>
                <c:pt idx="9">
                  <c:v>194.4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4-45DD-AE93-C2CEA0EE7674}"/>
            </c:ext>
          </c:extLst>
        </c:ser>
        <c:ser>
          <c:idx val="1"/>
          <c:order val="1"/>
          <c:tx>
            <c:strRef>
              <c:f>'Balance Sheet'!$B$6</c:f>
              <c:strCache>
                <c:ptCount val="1"/>
                <c:pt idx="0">
                  <c:v>Player Sales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Sheet'!$C$6:$L$6</c:f>
              <c:numCache>
                <c:formatCode>General</c:formatCode>
                <c:ptCount val="10"/>
                <c:pt idx="0">
                  <c:v>75.2</c:v>
                </c:pt>
                <c:pt idx="1">
                  <c:v>49.3</c:v>
                </c:pt>
                <c:pt idx="2">
                  <c:v>72.599999999999994</c:v>
                </c:pt>
                <c:pt idx="3">
                  <c:v>137.1</c:v>
                </c:pt>
                <c:pt idx="4">
                  <c:v>59.7</c:v>
                </c:pt>
                <c:pt idx="5">
                  <c:v>29.4</c:v>
                </c:pt>
                <c:pt idx="6">
                  <c:v>42.9</c:v>
                </c:pt>
                <c:pt idx="7">
                  <c:v>32.6</c:v>
                </c:pt>
                <c:pt idx="8">
                  <c:v>44.1</c:v>
                </c:pt>
                <c:pt idx="9">
                  <c:v>36.799999999999997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4-45DD-AE93-C2CEA0EE7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2"/>
        <c:axId val="479951448"/>
        <c:axId val="479959008"/>
      </c:barChart>
      <c:lineChart>
        <c:grouping val="standard"/>
        <c:varyColors val="0"/>
        <c:ser>
          <c:idx val="2"/>
          <c:order val="2"/>
          <c:tx>
            <c:strRef>
              <c:f>'Balance Sheet'!$B$7</c:f>
              <c:strCache>
                <c:ptCount val="1"/>
                <c:pt idx="0">
                  <c:v>Net Spend / (Sales)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'Balance Sheet'!$C$7:$L$7</c:f>
              <c:numCache>
                <c:formatCode>General</c:formatCode>
                <c:ptCount val="10"/>
                <c:pt idx="0">
                  <c:v>59.8</c:v>
                </c:pt>
                <c:pt idx="1">
                  <c:v>52.5</c:v>
                </c:pt>
                <c:pt idx="2">
                  <c:v>3.7000000000000028</c:v>
                </c:pt>
                <c:pt idx="3">
                  <c:v>58.099999999999994</c:v>
                </c:pt>
                <c:pt idx="4">
                  <c:v>163.30000000000001</c:v>
                </c:pt>
                <c:pt idx="5">
                  <c:v>-9.9999999999997868E-2</c:v>
                </c:pt>
                <c:pt idx="6">
                  <c:v>93.199999999999989</c:v>
                </c:pt>
                <c:pt idx="7">
                  <c:v>36.1</c:v>
                </c:pt>
                <c:pt idx="8">
                  <c:v>89.4</c:v>
                </c:pt>
                <c:pt idx="9">
                  <c:v>157.60000000000002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04-45DD-AE93-C2CEA0EE7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951448"/>
        <c:axId val="479959008"/>
      </c:lineChart>
      <c:catAx>
        <c:axId val="47995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9959008"/>
        <c:crosses val="autoZero"/>
        <c:auto val="1"/>
        <c:lblAlgn val="ctr"/>
        <c:lblOffset val="100"/>
        <c:noMultiLvlLbl val="0"/>
      </c:catAx>
      <c:valAx>
        <c:axId val="47995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995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Football Net Debt (in 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'Balance Sheet'!$B$21</c:f>
              <c:strCache>
                <c:ptCount val="1"/>
                <c:pt idx="0">
                  <c:v>Net Financial Debt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'Balance Sheet'!$C$3:$L$3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Sheet'!$C$21:$L$21</c:f>
              <c:numCache>
                <c:formatCode>General</c:formatCode>
                <c:ptCount val="10"/>
                <c:pt idx="0">
                  <c:v>94.800000000000011</c:v>
                </c:pt>
                <c:pt idx="1">
                  <c:v>155.10000000000002</c:v>
                </c:pt>
                <c:pt idx="2">
                  <c:v>177.60000000000002</c:v>
                </c:pt>
                <c:pt idx="3">
                  <c:v>144.69999999999999</c:v>
                </c:pt>
                <c:pt idx="4">
                  <c:v>91.300000000000011</c:v>
                </c:pt>
                <c:pt idx="5">
                  <c:v>119.09999999999997</c:v>
                </c:pt>
                <c:pt idx="6">
                  <c:v>166.8</c:v>
                </c:pt>
                <c:pt idx="7">
                  <c:v>145</c:v>
                </c:pt>
                <c:pt idx="8">
                  <c:v>193.4</c:v>
                </c:pt>
                <c:pt idx="9">
                  <c:v>306.79999999999995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3-47C1-AEF3-DEC58B9761E6}"/>
            </c:ext>
          </c:extLst>
        </c:ser>
        <c:ser>
          <c:idx val="1"/>
          <c:order val="1"/>
          <c:tx>
            <c:strRef>
              <c:f>'Balance Sheet'!$B$22</c:f>
              <c:strCache>
                <c:ptCount val="1"/>
                <c:pt idx="0">
                  <c:v>Net Transfer Debt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'Balance Sheet'!$C$3:$L$3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'Balance Sheet'!$C$22:$L$22</c:f>
              <c:numCache>
                <c:formatCode>General</c:formatCode>
                <c:ptCount val="10"/>
                <c:pt idx="0">
                  <c:v>2.5999999999999943</c:v>
                </c:pt>
                <c:pt idx="1">
                  <c:v>37.399999999999991</c:v>
                </c:pt>
                <c:pt idx="2">
                  <c:v>5.0999999999999943</c:v>
                </c:pt>
                <c:pt idx="3">
                  <c:v>29.700000000000003</c:v>
                </c:pt>
                <c:pt idx="4">
                  <c:v>117.7</c:v>
                </c:pt>
                <c:pt idx="5">
                  <c:v>31.200000000000003</c:v>
                </c:pt>
                <c:pt idx="6">
                  <c:v>67.400000000000006</c:v>
                </c:pt>
                <c:pt idx="7">
                  <c:v>38.6</c:v>
                </c:pt>
                <c:pt idx="8">
                  <c:v>45.800000000000011</c:v>
                </c:pt>
                <c:pt idx="9">
                  <c:v>69.900000000000006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3-47C1-AEF3-DEC58B976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462304"/>
        <c:axId val="785462664"/>
      </c:barChart>
      <c:lineChart>
        <c:grouping val="standard"/>
        <c:varyColors val="0"/>
        <c:ser>
          <c:idx val="2"/>
          <c:order val="2"/>
          <c:tx>
            <c:strRef>
              <c:f>'Balance Sheet'!$B$24</c:f>
              <c:strCache>
                <c:ptCount val="1"/>
                <c:pt idx="0">
                  <c:v>FND less Owner Debt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'Balance Sheet'!$C$24:$L$24</c:f>
              <c:numCache>
                <c:formatCode>General</c:formatCode>
                <c:ptCount val="10"/>
                <c:pt idx="0">
                  <c:v>48.000000000000007</c:v>
                </c:pt>
                <c:pt idx="1">
                  <c:v>82.5</c:v>
                </c:pt>
                <c:pt idx="2">
                  <c:v>72.800000000000011</c:v>
                </c:pt>
                <c:pt idx="3">
                  <c:v>74.499999999999972</c:v>
                </c:pt>
                <c:pt idx="4">
                  <c:v>129.69999999999999</c:v>
                </c:pt>
                <c:pt idx="5">
                  <c:v>78.899999999999949</c:v>
                </c:pt>
                <c:pt idx="6">
                  <c:v>162.80000000000001</c:v>
                </c:pt>
                <c:pt idx="7">
                  <c:v>112.19999999999999</c:v>
                </c:pt>
                <c:pt idx="8">
                  <c:v>167.8</c:v>
                </c:pt>
                <c:pt idx="9">
                  <c:v>177.99999999999994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3-47C1-AEF3-DEC58B976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462304"/>
        <c:axId val="785462664"/>
      </c:lineChart>
      <c:catAx>
        <c:axId val="7854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5462664"/>
        <c:crosses val="autoZero"/>
        <c:auto val="1"/>
        <c:lblAlgn val="ctr"/>
        <c:lblOffset val="100"/>
        <c:noMultiLvlLbl val="0"/>
      </c:catAx>
      <c:valAx>
        <c:axId val="78546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8546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Liverpool - Use</a:t>
            </a:r>
            <a:r>
              <a:rPr lang="en-GB" sz="10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Funds last 10 years</a:t>
            </a:r>
            <a:endParaRPr lang="en-GB" sz="10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EA-48F5-99D5-94F290336E4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 cap="sq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EA-48F5-99D5-94F290336E4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EA-48F5-99D5-94F290336E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('Cash Flow Statement V1'!$B$15,'Cash Flow Statement V1'!$B$22,'Cash Flow Statement V1'!$B$23)</c:f>
              <c:strCache>
                <c:ptCount val="3"/>
                <c:pt idx="0">
                  <c:v>Net Cash Interest Payments</c:v>
                </c:pt>
                <c:pt idx="1">
                  <c:v>Net Player Trading</c:v>
                </c:pt>
                <c:pt idx="2">
                  <c:v>Capex</c:v>
                </c:pt>
              </c:strCache>
            </c:strRef>
          </c:cat>
          <c:val>
            <c:numRef>
              <c:f>('Cash Flow Statement V1'!$R$6,'Cash Flow Statement V1'!$R$7,'Cash Flow Statement V1'!$R$8)</c:f>
              <c:numCache>
                <c:formatCode>General</c:formatCode>
                <c:ptCount val="3"/>
                <c:pt idx="0">
                  <c:v>30.900000000000002</c:v>
                </c:pt>
                <c:pt idx="1">
                  <c:v>669.4</c:v>
                </c:pt>
                <c:pt idx="2">
                  <c:v>357.75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A-48F5-99D5-94F29033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Liverpool</a:t>
            </a:r>
            <a:r>
              <a:rPr lang="en-GB" sz="1000" b="1" u="sng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Cash Flow from Financing</a:t>
            </a:r>
            <a:endParaRPr lang="en-GB" sz="1000" b="1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Statement V1'!$B$25</c:f>
              <c:strCache>
                <c:ptCount val="1"/>
                <c:pt idx="0">
                  <c:v>Cash Flow before Financing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'Cash Flow Statement V1'!$C$3:$L$3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'Cash Flow Statement V1'!$C$25:$L$25</c:f>
              <c:numCache>
                <c:formatCode>General</c:formatCode>
                <c:ptCount val="10"/>
                <c:pt idx="0">
                  <c:v>-36.5</c:v>
                </c:pt>
                <c:pt idx="1">
                  <c:v>-58.399999999999984</c:v>
                </c:pt>
                <c:pt idx="2">
                  <c:v>-19.800000000000011</c:v>
                </c:pt>
                <c:pt idx="3">
                  <c:v>36.200000000000003</c:v>
                </c:pt>
                <c:pt idx="4">
                  <c:v>47.299999999999983</c:v>
                </c:pt>
                <c:pt idx="5">
                  <c:v>-27.099999999999994</c:v>
                </c:pt>
                <c:pt idx="6">
                  <c:v>-47.25</c:v>
                </c:pt>
                <c:pt idx="7">
                  <c:v>22.099999999999994</c:v>
                </c:pt>
                <c:pt idx="8">
                  <c:v>-48.099999999999966</c:v>
                </c:pt>
                <c:pt idx="9">
                  <c:v>-113.1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ABB-963E-0A1CB37EFD05}"/>
            </c:ext>
          </c:extLst>
        </c:ser>
        <c:ser>
          <c:idx val="1"/>
          <c:order val="1"/>
          <c:tx>
            <c:strRef>
              <c:f>'Cash Flow Statement V1'!$B$33</c:f>
              <c:strCache>
                <c:ptCount val="1"/>
                <c:pt idx="0">
                  <c:v>Cash Flow from Financing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'Cash Flow Statement V1'!$C$3:$L$3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'Cash Flow Statement V1'!$C$33:$L$33</c:f>
              <c:numCache>
                <c:formatCode>General</c:formatCode>
                <c:ptCount val="10"/>
                <c:pt idx="0">
                  <c:v>40</c:v>
                </c:pt>
                <c:pt idx="1">
                  <c:v>62.6</c:v>
                </c:pt>
                <c:pt idx="2">
                  <c:v>15.6</c:v>
                </c:pt>
                <c:pt idx="3">
                  <c:v>-29.9</c:v>
                </c:pt>
                <c:pt idx="4">
                  <c:v>-20</c:v>
                </c:pt>
                <c:pt idx="5">
                  <c:v>139</c:v>
                </c:pt>
                <c:pt idx="6">
                  <c:v>-70.400000000000006</c:v>
                </c:pt>
                <c:pt idx="7">
                  <c:v>-40</c:v>
                </c:pt>
                <c:pt idx="8">
                  <c:v>38</c:v>
                </c:pt>
                <c:pt idx="9">
                  <c:v>117.1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B-4ABB-963E-0A1CB37E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221648"/>
        <c:axId val="937222008"/>
      </c:barChart>
      <c:lineChart>
        <c:grouping val="standard"/>
        <c:varyColors val="0"/>
        <c:ser>
          <c:idx val="2"/>
          <c:order val="2"/>
          <c:tx>
            <c:strRef>
              <c:f>'Cash Flow Statement V1'!$B$35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'Cash Flow Statement V1'!$C$35:$L$35</c:f>
              <c:numCache>
                <c:formatCode>General</c:formatCode>
                <c:ptCount val="10"/>
                <c:pt idx="0">
                  <c:v>3.5</c:v>
                </c:pt>
                <c:pt idx="1">
                  <c:v>4.2000000000000171</c:v>
                </c:pt>
                <c:pt idx="2">
                  <c:v>-4.2000000000000117</c:v>
                </c:pt>
                <c:pt idx="3">
                  <c:v>6.3000000000000043</c:v>
                </c:pt>
                <c:pt idx="4">
                  <c:v>27.299999999999983</c:v>
                </c:pt>
                <c:pt idx="5">
                  <c:v>111.9</c:v>
                </c:pt>
                <c:pt idx="6">
                  <c:v>-117.65</c:v>
                </c:pt>
                <c:pt idx="7">
                  <c:v>-17.900000000000006</c:v>
                </c:pt>
                <c:pt idx="8">
                  <c:v>-10.099999999999966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CB-4ABB-963E-0A1CB37EF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221648"/>
        <c:axId val="937222008"/>
      </c:lineChart>
      <c:catAx>
        <c:axId val="9372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22008"/>
        <c:crosses val="autoZero"/>
        <c:auto val="1"/>
        <c:lblAlgn val="ctr"/>
        <c:lblOffset val="100"/>
        <c:noMultiLvlLbl val="0"/>
      </c:catAx>
      <c:valAx>
        <c:axId val="93722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2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Liverpool Valuations -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DAF-4866-859A-382A3D5B1A1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DAF-4866-859A-382A3D5B1A1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AF-4866-859A-382A3D5B1A1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AF-4866-859A-382A3D5B1A1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F-4866-859A-382A3D5B1A16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DAF-4866-859A-382A3D5B1A16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F-4866-859A-382A3D5B1A16}"/>
              </c:ext>
            </c:extLst>
          </c:dPt>
          <c:cat>
            <c:strRef>
              <c:f>'Valuation Calcs'!$C$22:$I$22</c:f>
              <c:strCache>
                <c:ptCount val="7"/>
                <c:pt idx="0">
                  <c:v>Revenue Multiple</c:v>
                </c:pt>
                <c:pt idx="1">
                  <c:v>EBITDA Multiple</c:v>
                </c:pt>
                <c:pt idx="2">
                  <c:v>DCF</c:v>
                </c:pt>
                <c:pt idx="3">
                  <c:v>MMM</c:v>
                </c:pt>
                <c:pt idx="4">
                  <c:v>Forbes</c:v>
                </c:pt>
                <c:pt idx="5">
                  <c:v>Football Benchmark</c:v>
                </c:pt>
                <c:pt idx="6">
                  <c:v>Sportico</c:v>
                </c:pt>
              </c:strCache>
            </c:strRef>
          </c:cat>
          <c:val>
            <c:numRef>
              <c:f>'Valuation Calcs'!$C$23:$I$23</c:f>
              <c:numCache>
                <c:formatCode>General</c:formatCode>
                <c:ptCount val="7"/>
                <c:pt idx="0">
                  <c:v>3682.7999999999997</c:v>
                </c:pt>
                <c:pt idx="1">
                  <c:v>2090.6999999999971</c:v>
                </c:pt>
                <c:pt idx="2">
                  <c:v>2250</c:v>
                </c:pt>
                <c:pt idx="3">
                  <c:v>1179.3659229376594</c:v>
                </c:pt>
                <c:pt idx="4">
                  <c:v>5370</c:v>
                </c:pt>
                <c:pt idx="5">
                  <c:v>3540</c:v>
                </c:pt>
                <c:pt idx="6">
                  <c:v>5110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F-4866-859A-382A3D5B1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2584000"/>
        <c:axId val="792584360"/>
      </c:barChart>
      <c:catAx>
        <c:axId val="79258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2584360"/>
        <c:crosses val="autoZero"/>
        <c:auto val="1"/>
        <c:lblAlgn val="ctr"/>
        <c:lblOffset val="100"/>
        <c:noMultiLvlLbl val="0"/>
      </c:catAx>
      <c:valAx>
        <c:axId val="792584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25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185736</xdr:rowOff>
    </xdr:from>
    <xdr:to>
      <xdr:col>14</xdr:col>
      <xdr:colOff>600075</xdr:colOff>
      <xdr:row>26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86B41-5C87-1648-F02A-D58A81B43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16</xdr:row>
      <xdr:rowOff>0</xdr:rowOff>
    </xdr:from>
    <xdr:to>
      <xdr:col>19</xdr:col>
      <xdr:colOff>361950</xdr:colOff>
      <xdr:row>40</xdr:row>
      <xdr:rowOff>28575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444411B0-C57B-1BDA-3181-5EB16D3A9A3A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857500"/>
          <a:ext cx="5238750" cy="460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600125</xdr:colOff>
      <xdr:row>4</xdr:row>
      <xdr:rowOff>0</xdr:rowOff>
    </xdr:from>
    <xdr:to>
      <xdr:col>15</xdr:col>
      <xdr:colOff>199002</xdr:colOff>
      <xdr:row>24</xdr:row>
      <xdr:rowOff>56265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7E5958-799C-8BB7-9CB6-F51B07B5D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50" y="800100"/>
          <a:ext cx="4475677" cy="3875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409575</xdr:colOff>
      <xdr:row>41</xdr:row>
      <xdr:rowOff>147637</xdr:rowOff>
    </xdr:from>
    <xdr:to>
      <xdr:col>25</xdr:col>
      <xdr:colOff>180975</xdr:colOff>
      <xdr:row>56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9A898B-9425-4EA6-CC70-A922F66AF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4761</xdr:colOff>
      <xdr:row>33</xdr:row>
      <xdr:rowOff>185736</xdr:rowOff>
    </xdr:from>
    <xdr:to>
      <xdr:col>21</xdr:col>
      <xdr:colOff>390524</xdr:colOff>
      <xdr:row>50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47D4F-6A66-815D-B480-7C63C0353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604836</xdr:colOff>
      <xdr:row>50</xdr:row>
      <xdr:rowOff>109536</xdr:rowOff>
    </xdr:from>
    <xdr:to>
      <xdr:col>21</xdr:col>
      <xdr:colOff>400049</xdr:colOff>
      <xdr:row>65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A8070D-B763-007F-750A-505070DAB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495300</xdr:colOff>
      <xdr:row>37</xdr:row>
      <xdr:rowOff>90487</xdr:rowOff>
    </xdr:from>
    <xdr:to>
      <xdr:col>24</xdr:col>
      <xdr:colOff>266700</xdr:colOff>
      <xdr:row>52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8C292D-C373-D57F-EBF6-A6FB77893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490537</xdr:colOff>
      <xdr:row>52</xdr:row>
      <xdr:rowOff>100012</xdr:rowOff>
    </xdr:from>
    <xdr:to>
      <xdr:col>24</xdr:col>
      <xdr:colOff>261937</xdr:colOff>
      <xdr:row>67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2DF1D8-E8BE-6916-7943-317D1C1CE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34</xdr:row>
      <xdr:rowOff>23812</xdr:rowOff>
    </xdr:from>
    <xdr:to>
      <xdr:col>8</xdr:col>
      <xdr:colOff>1285875</xdr:colOff>
      <xdr:row>48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99472-5468-ED94-8B69-3A7D1A30D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h Moir" id="{C3D4F41E-DD27-4E8B-88FF-DB447AE3EF1D}" userId="9c131fce2b56e594" providerId="Windows Live"/>
  <person displayName="MOIR, JOSH (UG)" id="{7FA57505-9648-4847-8ED9-6607C0673590}" userId="S::u2213276@live.warwick.ac.uk::a3aa63eb-1cc1-4e77-87cf-59d3e0aedd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05-14T18:41:40.90" personId="{7FA57505-9648-4847-8ED9-6607C0673590}" id="{5DB44B86-EE6D-4EED-B978-7415C92BD8EB}">
    <text>Ability to toggle between.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6" dT="2025-05-14T17:58:37.58" personId="{7FA57505-9648-4847-8ED9-6607C0673590}" id="{E6B9EBED-DD70-44AB-9909-E94A52560968}">
    <text>Needs income statement for 2014.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" dT="2025-05-14T18:49:07.05" personId="{7FA57505-9648-4847-8ED9-6607C0673590}" id="{7CB71A92-E5D8-41E3-BD8A-9834A36C830A}">
    <text>Temporary.</text>
  </threadedComment>
  <threadedComment ref="B14" dT="2025-05-14T10:47:31.97" personId="{7FA57505-9648-4847-8ED9-6607C0673590}" id="{612A4B50-9812-424B-B0F5-1EE1A6B5C13F}">
    <text>Hardcoded for now.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3" dT="2025-05-11T17:43:01.61" personId="{C3D4F41E-DD27-4E8B-88FF-DB447AE3EF1D}" id="{57E4A381-40D9-43D8-BD40-AFF631BDEC7B}">
    <text>Would reference database.</text>
  </threadedComment>
  <threadedComment ref="N3" dT="2025-05-11T17:43:17.45" personId="{C3D4F41E-DD27-4E8B-88FF-DB447AE3EF1D}" id="{3C48429E-0B69-4E85-98ED-C84D3233CCC8}">
    <text>Would reference database.</text>
  </threadedComment>
  <threadedComment ref="S3" dT="2025-05-11T17:43:22.13" personId="{C3D4F41E-DD27-4E8B-88FF-DB447AE3EF1D}" id="{76BF33CD-E7B3-4B7B-9C7C-6F9DADD737BF}">
    <text>Would reference database.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5-05-14T22:01:35.89" personId="{7FA57505-9648-4847-8ED9-6607C0673590}" id="{F0B3FA81-77AE-4BE6-BEDE-3A0A21DDA5CC}">
    <text>Would be derived from comps M&amp;A multiple.</text>
  </threadedComment>
  <threadedComment ref="D8" dT="2025-05-14T21:59:27.27" personId="{7FA57505-9648-4847-8ED9-6607C0673590}" id="{A1F868CA-689E-4DFF-AABE-F3EE1A57F4CB}">
    <text>Would link to separate comp M&amp;A transaction page that derives this.</text>
  </threadedComment>
  <threadedComment ref="B12" dT="2025-05-14T22:02:08.50" personId="{7FA57505-9648-4847-8ED9-6607C0673590}" id="{BE460B7A-33BA-4C44-B886-2B01429DADA1}">
    <text>Would look to have built in DCF model, with ability to change assumptions. See FinChat modelling on stock page.</text>
  </threadedComment>
  <threadedComment ref="N23" dT="2025-05-14T22:12:33.15" personId="{7FA57505-9648-4847-8ED9-6607C0673590}" id="{DAFD3A49-45E7-4303-B4DA-B894DE5FB4D8}">
    <text>Would be integrated.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5" dT="2025-05-15T11:18:25.36" personId="{7FA57505-9648-4847-8ED9-6607C0673590}" id="{6785B489-6A2C-4304-A737-C91DF2376DD3}">
    <text>Would look to index the follower count over a range of dates.</text>
  </threadedComment>
  <threadedComment ref="E6" dT="2025-05-15T11:22:09.47" personId="{7FA57505-9648-4847-8ED9-6607C0673590}" id="{97492A6D-62ED-48A4-8701-8928724A10EF}">
    <text>Would look to provide engagement data.</text>
  </threadedComment>
  <threadedComment ref="C28" dT="2025-05-15T11:37:41.32" personId="{7FA57505-9648-4847-8ED9-6607C0673590}" id="{5627DB2E-A891-4F35-BC84-3294558898E7}">
    <text>Total engagements = sum of likes and comments on post.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iverpoolfc.com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9EE4-1719-4AFF-A5D1-29CCA0211A9F}">
  <dimension ref="A2:R48"/>
  <sheetViews>
    <sheetView tabSelected="1" workbookViewId="0">
      <selection activeCell="E8" sqref="E8"/>
    </sheetView>
  </sheetViews>
  <sheetFormatPr defaultRowHeight="15" x14ac:dyDescent="0.25"/>
  <cols>
    <col min="2" max="2" width="27.85546875" bestFit="1" customWidth="1"/>
    <col min="3" max="3" width="51.85546875" bestFit="1" customWidth="1"/>
    <col min="8" max="8" width="14.140625" bestFit="1" customWidth="1"/>
  </cols>
  <sheetData>
    <row r="2" spans="1:18" s="3" customFormat="1" ht="18" x14ac:dyDescent="0.25">
      <c r="A2"/>
      <c r="B2" s="6" t="s">
        <v>94</v>
      </c>
      <c r="H2" s="38" t="s">
        <v>317</v>
      </c>
    </row>
    <row r="3" spans="1:18" s="3" customFormat="1" x14ac:dyDescent="0.25">
      <c r="A3"/>
      <c r="B3" s="3" t="s">
        <v>55</v>
      </c>
      <c r="C3" s="80" t="s">
        <v>284</v>
      </c>
      <c r="H3" s="30" t="s">
        <v>318</v>
      </c>
      <c r="I3" s="3">
        <v>2015</v>
      </c>
      <c r="J3" s="3">
        <v>2016</v>
      </c>
      <c r="K3" s="3">
        <v>2017</v>
      </c>
      <c r="L3" s="3">
        <v>2018</v>
      </c>
      <c r="M3" s="3">
        <v>2019</v>
      </c>
      <c r="N3" s="3">
        <v>2020</v>
      </c>
      <c r="O3" s="3">
        <v>2021</v>
      </c>
      <c r="P3" s="3">
        <v>2022</v>
      </c>
      <c r="Q3" s="3">
        <v>2023</v>
      </c>
      <c r="R3" s="3">
        <v>2024</v>
      </c>
    </row>
    <row r="4" spans="1:18" s="3" customFormat="1" x14ac:dyDescent="0.25">
      <c r="A4"/>
      <c r="B4" s="3" t="s">
        <v>278</v>
      </c>
      <c r="C4" s="80" t="s">
        <v>283</v>
      </c>
      <c r="H4" s="3" t="s">
        <v>100</v>
      </c>
      <c r="I4" s="3">
        <f>'Income Statement'!C7</f>
        <v>298</v>
      </c>
      <c r="J4" s="3">
        <f>'Income Statement'!D7</f>
        <v>301.7</v>
      </c>
      <c r="K4" s="3">
        <f>'Income Statement'!E7</f>
        <v>364.5</v>
      </c>
      <c r="L4" s="3">
        <f>'Income Statement'!F7</f>
        <v>455.1</v>
      </c>
      <c r="M4" s="3">
        <f>'Income Statement'!G7</f>
        <v>533</v>
      </c>
      <c r="N4" s="3">
        <f>'Income Statement'!H7</f>
        <v>489.9</v>
      </c>
      <c r="O4" s="3">
        <f>'Income Statement'!I7</f>
        <v>487.30000000000007</v>
      </c>
      <c r="P4" s="3">
        <f>'Income Statement'!J7</f>
        <v>594.29999999999995</v>
      </c>
      <c r="Q4" s="3">
        <f>'Income Statement'!K7</f>
        <v>593.9</v>
      </c>
      <c r="R4" s="3">
        <f>'Income Statement'!L7</f>
        <v>613.79999999999995</v>
      </c>
    </row>
    <row r="5" spans="1:18" s="3" customFormat="1" x14ac:dyDescent="0.25">
      <c r="A5"/>
      <c r="B5" s="3" t="s">
        <v>280</v>
      </c>
      <c r="C5" s="84" t="s">
        <v>293</v>
      </c>
      <c r="H5" s="3" t="s">
        <v>319</v>
      </c>
      <c r="I5" s="54">
        <f>(I4-I4)/$I$4</f>
        <v>0</v>
      </c>
      <c r="J5" s="54">
        <f>(J4-$I$4)/$I$4</f>
        <v>1.2416107382550298E-2</v>
      </c>
      <c r="K5" s="54">
        <f t="shared" ref="K5:R5" si="0">(K4-$I$4)/$I$4</f>
        <v>0.22315436241610739</v>
      </c>
      <c r="L5" s="54">
        <f t="shared" si="0"/>
        <v>0.5271812080536914</v>
      </c>
      <c r="M5" s="54">
        <f t="shared" si="0"/>
        <v>0.78859060402684567</v>
      </c>
      <c r="N5" s="54">
        <f t="shared" si="0"/>
        <v>0.64395973154362407</v>
      </c>
      <c r="O5" s="54">
        <f t="shared" si="0"/>
        <v>0.63523489932885924</v>
      </c>
      <c r="P5" s="54">
        <f t="shared" si="0"/>
        <v>0.99429530201342264</v>
      </c>
      <c r="Q5" s="54">
        <f t="shared" si="0"/>
        <v>0.99295302013422815</v>
      </c>
      <c r="R5" s="54">
        <f t="shared" si="0"/>
        <v>1.059731543624161</v>
      </c>
    </row>
    <row r="6" spans="1:18" s="3" customFormat="1" x14ac:dyDescent="0.25">
      <c r="A6"/>
      <c r="B6" s="3" t="s">
        <v>281</v>
      </c>
      <c r="C6" s="80" t="s">
        <v>288</v>
      </c>
      <c r="H6" s="3" t="s">
        <v>4</v>
      </c>
      <c r="I6" s="3">
        <f>'Income Statement'!C14</f>
        <v>73</v>
      </c>
      <c r="J6" s="3">
        <f>'Income Statement'!D14</f>
        <v>35.199999999999989</v>
      </c>
      <c r="K6" s="3">
        <f>'Income Statement'!E14</f>
        <v>73.5</v>
      </c>
      <c r="L6" s="3">
        <f>'Income Statement'!F14</f>
        <v>94.699999999999989</v>
      </c>
      <c r="M6" s="3">
        <f>'Income Statement'!G14</f>
        <v>123.40000000000003</v>
      </c>
      <c r="N6" s="3">
        <f>'Income Statement'!H14</f>
        <v>41.699999999999932</v>
      </c>
      <c r="O6" s="3">
        <f>'Income Statement'!I14</f>
        <v>77.10000000000008</v>
      </c>
      <c r="P6" s="3">
        <f>'Income Statement'!J14</f>
        <v>96.39999999999992</v>
      </c>
      <c r="Q6" s="3">
        <f>'Income Statement'!K14</f>
        <v>83.800000000000011</v>
      </c>
      <c r="R6" s="3">
        <f>'Income Statement'!L14</f>
        <v>60.599999999999909</v>
      </c>
    </row>
    <row r="7" spans="1:18" s="3" customFormat="1" x14ac:dyDescent="0.25">
      <c r="A7"/>
      <c r="B7" s="3" t="s">
        <v>173</v>
      </c>
      <c r="C7" s="80" t="s">
        <v>122</v>
      </c>
      <c r="H7" s="3" t="s">
        <v>320</v>
      </c>
      <c r="I7" s="54">
        <f>(I6-I6)/$I$6</f>
        <v>0</v>
      </c>
      <c r="J7" s="54">
        <f>(J6-$I$6)/$I$6</f>
        <v>-0.5178082191780824</v>
      </c>
      <c r="K7" s="54">
        <f t="shared" ref="K7:R7" si="1">(K6-$I$6)/$I$6</f>
        <v>6.8493150684931503E-3</v>
      </c>
      <c r="L7" s="54">
        <f t="shared" si="1"/>
        <v>0.29726027397260257</v>
      </c>
      <c r="M7" s="54">
        <f t="shared" si="1"/>
        <v>0.69041095890411008</v>
      </c>
      <c r="N7" s="54">
        <f t="shared" si="1"/>
        <v>-0.42876712328767219</v>
      </c>
      <c r="O7" s="54">
        <f t="shared" si="1"/>
        <v>5.6164383561644923E-2</v>
      </c>
      <c r="P7" s="54">
        <f t="shared" si="1"/>
        <v>0.32054794520547836</v>
      </c>
      <c r="Q7" s="54">
        <f t="shared" si="1"/>
        <v>0.14794520547945222</v>
      </c>
      <c r="R7" s="54">
        <f t="shared" si="1"/>
        <v>-0.16986301369863138</v>
      </c>
    </row>
    <row r="8" spans="1:18" s="3" customFormat="1" x14ac:dyDescent="0.25">
      <c r="A8"/>
      <c r="B8" s="3" t="s">
        <v>282</v>
      </c>
      <c r="C8" s="80">
        <v>1892</v>
      </c>
      <c r="H8" s="3" t="s">
        <v>296</v>
      </c>
      <c r="I8" s="73">
        <f>'Valuation Calcs'!M32</f>
        <v>1884.625</v>
      </c>
      <c r="J8" s="73">
        <f>'Valuation Calcs'!M31</f>
        <v>1705.6499999999999</v>
      </c>
      <c r="K8" s="73">
        <f>'Valuation Calcs'!M30</f>
        <v>2116.1875</v>
      </c>
      <c r="L8" s="73">
        <f>'Valuation Calcs'!M29</f>
        <v>2547.9375</v>
      </c>
      <c r="M8" s="73">
        <f>'Valuation Calcs'!M28</f>
        <v>2972.0750000000003</v>
      </c>
      <c r="N8" s="73">
        <f>'Valuation Calcs'!M27</f>
        <v>2161.7624999999994</v>
      </c>
      <c r="O8" s="73">
        <f>'Valuation Calcs'!M26</f>
        <v>2983.4375000000009</v>
      </c>
      <c r="P8" s="73">
        <f>'Valuation Calcs'!M25</f>
        <v>3397.8999999999992</v>
      </c>
      <c r="Q8" s="73">
        <f>'Valuation Calcs'!M24</f>
        <v>3498.125</v>
      </c>
      <c r="R8" s="73">
        <f>'Valuation Calcs'!M23</f>
        <v>3317.5522747053797</v>
      </c>
    </row>
    <row r="9" spans="1:18" s="3" customFormat="1" x14ac:dyDescent="0.25">
      <c r="A9"/>
      <c r="B9" s="3" t="s">
        <v>291</v>
      </c>
      <c r="C9" s="80" t="s">
        <v>292</v>
      </c>
    </row>
    <row r="10" spans="1:18" s="3" customFormat="1" x14ac:dyDescent="0.25">
      <c r="A10"/>
      <c r="B10" s="3" t="s">
        <v>285</v>
      </c>
      <c r="C10" s="80" t="s">
        <v>75</v>
      </c>
      <c r="H10" s="30" t="s">
        <v>374</v>
      </c>
    </row>
    <row r="11" spans="1:18" s="3" customFormat="1" x14ac:dyDescent="0.25">
      <c r="A11"/>
      <c r="B11" s="3" t="s">
        <v>286</v>
      </c>
      <c r="C11" s="80" t="s">
        <v>287</v>
      </c>
    </row>
    <row r="12" spans="1:18" s="3" customFormat="1" x14ac:dyDescent="0.25">
      <c r="A12"/>
      <c r="B12" s="3" t="s">
        <v>279</v>
      </c>
      <c r="C12" s="80" t="s">
        <v>294</v>
      </c>
    </row>
    <row r="13" spans="1:18" s="3" customFormat="1" x14ac:dyDescent="0.25">
      <c r="A13"/>
      <c r="B13" s="3" t="s">
        <v>289</v>
      </c>
      <c r="C13" s="80" t="s">
        <v>290</v>
      </c>
    </row>
    <row r="14" spans="1:18" s="3" customFormat="1" x14ac:dyDescent="0.25">
      <c r="A14"/>
      <c r="C14" s="80"/>
    </row>
    <row r="15" spans="1:18" s="3" customFormat="1" ht="15.75" x14ac:dyDescent="0.25">
      <c r="A15"/>
      <c r="B15" s="38" t="s">
        <v>297</v>
      </c>
      <c r="C15" s="80"/>
    </row>
    <row r="16" spans="1:18" s="3" customFormat="1" x14ac:dyDescent="0.25">
      <c r="A16"/>
      <c r="B16" s="3" t="s">
        <v>90</v>
      </c>
      <c r="C16" s="80">
        <f>'Income Statement'!L7</f>
        <v>613.79999999999995</v>
      </c>
    </row>
    <row r="17" spans="1:3" s="3" customFormat="1" x14ac:dyDescent="0.25">
      <c r="A17"/>
      <c r="B17" s="3" t="s">
        <v>295</v>
      </c>
      <c r="C17" s="80">
        <f>Management!M12</f>
        <v>1011</v>
      </c>
    </row>
    <row r="18" spans="1:3" s="3" customFormat="1" x14ac:dyDescent="0.25">
      <c r="A18"/>
      <c r="B18" s="3" t="s">
        <v>559</v>
      </c>
      <c r="C18" s="82">
        <f>R8</f>
        <v>3317.5522747053797</v>
      </c>
    </row>
    <row r="19" spans="1:3" s="3" customFormat="1" x14ac:dyDescent="0.25">
      <c r="A19"/>
      <c r="B19" s="3" t="s">
        <v>4</v>
      </c>
      <c r="C19" s="80">
        <f>'Income Statement'!L14</f>
        <v>60.599999999999909</v>
      </c>
    </row>
    <row r="20" spans="1:3" s="3" customFormat="1" x14ac:dyDescent="0.25">
      <c r="A20"/>
      <c r="C20" s="80"/>
    </row>
    <row r="21" spans="1:3" s="3" customFormat="1" ht="15.75" x14ac:dyDescent="0.25">
      <c r="A21"/>
      <c r="B21" s="38" t="s">
        <v>298</v>
      </c>
      <c r="C21" s="80"/>
    </row>
    <row r="22" spans="1:3" s="3" customFormat="1" x14ac:dyDescent="0.25">
      <c r="A22"/>
      <c r="B22" s="3" t="s">
        <v>306</v>
      </c>
      <c r="C22" s="81">
        <f>'Income Statement'!L9/'Income Statement'!L7</f>
        <v>0.86412512218963833</v>
      </c>
    </row>
    <row r="23" spans="1:3" s="3" customFormat="1" x14ac:dyDescent="0.25">
      <c r="A23"/>
      <c r="B23" s="3" t="s">
        <v>4</v>
      </c>
      <c r="C23" s="81">
        <f>'Income Statement'!L14/'Income Statement'!L7</f>
        <v>9.8729227761485683E-2</v>
      </c>
    </row>
    <row r="24" spans="1:3" s="3" customFormat="1" x14ac:dyDescent="0.25">
      <c r="A24"/>
      <c r="B24" s="3" t="s">
        <v>307</v>
      </c>
      <c r="C24" s="81">
        <f>'Income Statement'!L25/'Income Statement'!L7</f>
        <v>-7.7549690452916389E-2</v>
      </c>
    </row>
    <row r="25" spans="1:3" s="3" customFormat="1" x14ac:dyDescent="0.25">
      <c r="A25"/>
      <c r="B25" s="3" t="s">
        <v>308</v>
      </c>
      <c r="C25" s="81">
        <f>'Income Statement'!L29/'Income Statement'!L7</f>
        <v>-9.2864125122189764E-2</v>
      </c>
    </row>
    <row r="26" spans="1:3" s="3" customFormat="1" x14ac:dyDescent="0.25">
      <c r="A26"/>
      <c r="B26" s="3" t="s">
        <v>309</v>
      </c>
      <c r="C26" s="81">
        <f>'Income Statement'!L31/'Income Statement'!L7</f>
        <v>-7.0707070707070829E-2</v>
      </c>
    </row>
    <row r="27" spans="1:3" s="3" customFormat="1" x14ac:dyDescent="0.25">
      <c r="A27"/>
      <c r="B27" s="3" t="s">
        <v>310</v>
      </c>
      <c r="C27" s="81">
        <f>('Cash Flow Statement V1'!L17-'Cash Flow Statement V1'!L23)/'Income Statement'!L7</f>
        <v>0.21407624633431088</v>
      </c>
    </row>
    <row r="28" spans="1:3" s="3" customFormat="1" x14ac:dyDescent="0.25">
      <c r="A28"/>
      <c r="B28" s="3" t="s">
        <v>316</v>
      </c>
      <c r="C28" s="81">
        <f>('Cash Flow Statement V1'!L17+'Cash Flow Statement V1'!L24)/'Income Statement'!L7</f>
        <v>-0.18426197458455523</v>
      </c>
    </row>
    <row r="29" spans="1:3" s="3" customFormat="1" x14ac:dyDescent="0.25">
      <c r="A29"/>
      <c r="C29" s="80"/>
    </row>
    <row r="30" spans="1:3" s="3" customFormat="1" ht="15.75" x14ac:dyDescent="0.25">
      <c r="A30"/>
      <c r="B30" s="38" t="s">
        <v>299</v>
      </c>
      <c r="C30" s="80"/>
    </row>
    <row r="31" spans="1:3" s="3" customFormat="1" x14ac:dyDescent="0.25">
      <c r="A31"/>
      <c r="B31" s="3" t="s">
        <v>300</v>
      </c>
      <c r="C31" s="81">
        <f>('Income Statement'!L7-'Income Statement'!J7)/('Income Statement'!J7)</f>
        <v>3.2811711256940941E-2</v>
      </c>
    </row>
    <row r="32" spans="1:3" s="3" customFormat="1" x14ac:dyDescent="0.25">
      <c r="A32"/>
      <c r="B32" s="3" t="s">
        <v>301</v>
      </c>
      <c r="C32" s="81">
        <f>('Income Statement'!L7-'Income Statement'!H7)/('Income Statement'!H7)</f>
        <v>0.25290875688916103</v>
      </c>
    </row>
    <row r="33" spans="1:3" s="3" customFormat="1" x14ac:dyDescent="0.25">
      <c r="A33"/>
      <c r="B33" s="3" t="s">
        <v>302</v>
      </c>
      <c r="C33" s="81">
        <f>('Income Statement'!L7-'Income Statement'!C7)/('Income Statement'!C7)</f>
        <v>1.059731543624161</v>
      </c>
    </row>
    <row r="34" spans="1:3" s="3" customFormat="1" x14ac:dyDescent="0.25">
      <c r="A34"/>
      <c r="B34" s="3" t="s">
        <v>303</v>
      </c>
      <c r="C34" s="81">
        <f>('Income Statement'!L14-'Income Statement'!J14)/('Income Statement'!J14)</f>
        <v>-0.37136929460580953</v>
      </c>
    </row>
    <row r="35" spans="1:3" s="3" customFormat="1" x14ac:dyDescent="0.25">
      <c r="A35"/>
      <c r="B35" s="3" t="s">
        <v>304</v>
      </c>
      <c r="C35" s="81">
        <f>('Income Statement'!L14-'Income Statement'!H14)/('Income Statement'!H14)</f>
        <v>0.45323741007194263</v>
      </c>
    </row>
    <row r="36" spans="1:3" s="3" customFormat="1" x14ac:dyDescent="0.25">
      <c r="A36"/>
      <c r="B36" s="3" t="s">
        <v>305</v>
      </c>
      <c r="C36" s="81">
        <f>('Income Statement'!L14-'Income Statement'!C14)/('Income Statement'!C14)</f>
        <v>-0.16986301369863138</v>
      </c>
    </row>
    <row r="37" spans="1:3" s="3" customFormat="1" x14ac:dyDescent="0.25">
      <c r="A37"/>
      <c r="C37" s="81"/>
    </row>
    <row r="38" spans="1:3" s="3" customFormat="1" ht="15.75" x14ac:dyDescent="0.25">
      <c r="A38"/>
      <c r="B38" s="38" t="s">
        <v>313</v>
      </c>
      <c r="C38" s="80"/>
    </row>
    <row r="39" spans="1:3" s="3" customFormat="1" x14ac:dyDescent="0.25">
      <c r="A39"/>
      <c r="B39" s="3" t="s">
        <v>130</v>
      </c>
      <c r="C39" s="80">
        <f>'Balance Sheet'!L14</f>
        <v>7.5</v>
      </c>
    </row>
    <row r="40" spans="1:3" s="3" customFormat="1" x14ac:dyDescent="0.25">
      <c r="A40"/>
      <c r="B40" s="3" t="s">
        <v>255</v>
      </c>
      <c r="C40" s="80">
        <f>'Balance Sheet'!L15</f>
        <v>306.79999999999995</v>
      </c>
    </row>
    <row r="41" spans="1:3" s="3" customFormat="1" x14ac:dyDescent="0.25">
      <c r="A41"/>
      <c r="B41" s="3" t="s">
        <v>315</v>
      </c>
      <c r="C41" s="80">
        <f>'Balance Sheet'!L23</f>
        <v>376.69999999999993</v>
      </c>
    </row>
    <row r="42" spans="1:3" s="3" customFormat="1" x14ac:dyDescent="0.25">
      <c r="A42"/>
      <c r="B42" s="3" t="s">
        <v>314</v>
      </c>
      <c r="C42" s="80">
        <f>'Balance Sheet'!L24</f>
        <v>177.99999999999994</v>
      </c>
    </row>
    <row r="43" spans="1:3" s="3" customFormat="1" x14ac:dyDescent="0.25">
      <c r="A43"/>
      <c r="C43" s="80"/>
    </row>
    <row r="44" spans="1:3" s="3" customFormat="1" ht="15.75" x14ac:dyDescent="0.25">
      <c r="A44"/>
      <c r="B44" s="38" t="s">
        <v>30</v>
      </c>
      <c r="C44" s="80"/>
    </row>
    <row r="45" spans="1:3" s="3" customFormat="1" x14ac:dyDescent="0.25">
      <c r="A45"/>
      <c r="B45" s="3" t="s">
        <v>31</v>
      </c>
      <c r="C45" s="85">
        <f>'Income Statement'!L35</f>
        <v>0.62903225806451624</v>
      </c>
    </row>
    <row r="46" spans="1:3" s="3" customFormat="1" x14ac:dyDescent="0.25">
      <c r="A46"/>
      <c r="B46" s="3" t="s">
        <v>11</v>
      </c>
      <c r="C46" s="85">
        <f>'Income Statement'!L37</f>
        <v>0.81557510589768667</v>
      </c>
    </row>
    <row r="47" spans="1:3" s="3" customFormat="1" x14ac:dyDescent="0.25">
      <c r="A47"/>
      <c r="B47" s="3" t="s">
        <v>49</v>
      </c>
      <c r="C47" s="85">
        <f>'Income Statement'!L39</f>
        <v>0.27223851417399808</v>
      </c>
    </row>
    <row r="48" spans="1:3" s="3" customFormat="1" x14ac:dyDescent="0.25">
      <c r="A48"/>
    </row>
  </sheetData>
  <hyperlinks>
    <hyperlink ref="C5" r:id="rId1" xr:uid="{7AE8DD1F-3BA4-4D38-9869-7C7ADA625C62}"/>
  </hyperlinks>
  <pageMargins left="0.7" right="0.7" top="0.75" bottom="0.75" header="0.3" footer="0.3"/>
  <pageSetup paperSize="9" orientation="portrait" horizontalDpi="1200" verticalDpi="1200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E84A-EE71-429A-A060-53E993662262}">
  <dimension ref="A1:M21"/>
  <sheetViews>
    <sheetView workbookViewId="0">
      <selection activeCell="B37" sqref="B37"/>
    </sheetView>
  </sheetViews>
  <sheetFormatPr defaultRowHeight="15" x14ac:dyDescent="0.25"/>
  <cols>
    <col min="2" max="2" width="44.7109375" style="3" bestFit="1" customWidth="1"/>
    <col min="3" max="3" width="29.7109375" style="3" bestFit="1" customWidth="1"/>
    <col min="4" max="4" width="29.85546875" style="3" bestFit="1" customWidth="1"/>
    <col min="5" max="5" width="37.5703125" style="3" bestFit="1" customWidth="1"/>
    <col min="6" max="6" width="21.42578125" style="3" bestFit="1" customWidth="1"/>
    <col min="7" max="7" width="17.28515625" style="3" customWidth="1"/>
    <col min="8" max="16384" width="9.140625" style="3"/>
  </cols>
  <sheetData>
    <row r="1" spans="2:13" customFormat="1" x14ac:dyDescent="0.25"/>
    <row r="2" spans="2:13" ht="18" x14ac:dyDescent="0.25">
      <c r="B2" s="6" t="s">
        <v>376</v>
      </c>
    </row>
    <row r="3" spans="2:13" ht="15.75" x14ac:dyDescent="0.25">
      <c r="B3" s="38" t="s">
        <v>379</v>
      </c>
    </row>
    <row r="4" spans="2:13" x14ac:dyDescent="0.25">
      <c r="B4" s="8" t="s">
        <v>380</v>
      </c>
      <c r="C4" s="8" t="s">
        <v>384</v>
      </c>
      <c r="D4" s="8" t="s">
        <v>385</v>
      </c>
      <c r="E4" s="8" t="s">
        <v>386</v>
      </c>
      <c r="I4" s="37" t="s">
        <v>378</v>
      </c>
    </row>
    <row r="5" spans="2:13" x14ac:dyDescent="0.25">
      <c r="B5" s="50" t="s">
        <v>332</v>
      </c>
      <c r="C5" s="86">
        <v>0.4</v>
      </c>
      <c r="D5" s="86" t="s">
        <v>197</v>
      </c>
      <c r="E5" s="86">
        <f>C5*0.97</f>
        <v>0.38800000000000001</v>
      </c>
    </row>
    <row r="6" spans="2:13" x14ac:dyDescent="0.25">
      <c r="B6" s="3" t="s">
        <v>381</v>
      </c>
      <c r="C6" s="54">
        <v>0.12</v>
      </c>
      <c r="D6" s="54" t="s">
        <v>197</v>
      </c>
      <c r="E6" s="87">
        <f t="shared" ref="E6:E8" si="0">C6*0.97</f>
        <v>0.11639999999999999</v>
      </c>
      <c r="M6"/>
    </row>
    <row r="7" spans="2:13" x14ac:dyDescent="0.25">
      <c r="B7" s="3" t="s">
        <v>290</v>
      </c>
      <c r="C7" s="54">
        <v>0.1</v>
      </c>
      <c r="D7" s="54" t="s">
        <v>197</v>
      </c>
      <c r="E7" s="87">
        <f t="shared" si="0"/>
        <v>9.7000000000000003E-2</v>
      </c>
    </row>
    <row r="8" spans="2:13" x14ac:dyDescent="0.25">
      <c r="B8" s="3" t="s">
        <v>382</v>
      </c>
      <c r="C8" s="54">
        <v>0.11</v>
      </c>
      <c r="D8" s="54" t="s">
        <v>197</v>
      </c>
      <c r="E8" s="87">
        <f t="shared" si="0"/>
        <v>0.1067</v>
      </c>
    </row>
    <row r="9" spans="2:13" x14ac:dyDescent="0.25">
      <c r="B9" s="3" t="s">
        <v>539</v>
      </c>
      <c r="C9" s="54">
        <v>0.05</v>
      </c>
      <c r="E9" s="54">
        <f>C9*0.97</f>
        <v>4.8500000000000001E-2</v>
      </c>
    </row>
    <row r="10" spans="2:13" x14ac:dyDescent="0.25">
      <c r="B10" s="3" t="s">
        <v>540</v>
      </c>
      <c r="C10" s="54">
        <v>0.01</v>
      </c>
      <c r="E10" s="54">
        <f>C10*0.97</f>
        <v>9.7000000000000003E-3</v>
      </c>
    </row>
    <row r="11" spans="2:13" x14ac:dyDescent="0.25">
      <c r="B11" s="3" t="s">
        <v>383</v>
      </c>
      <c r="C11" s="54">
        <v>0.21</v>
      </c>
      <c r="D11" s="54" t="s">
        <v>197</v>
      </c>
      <c r="E11" s="87">
        <f>C11*0.97</f>
        <v>0.20369999999999999</v>
      </c>
    </row>
    <row r="12" spans="2:13" x14ac:dyDescent="0.25">
      <c r="B12" s="3" t="s">
        <v>387</v>
      </c>
      <c r="C12" s="54" t="s">
        <v>197</v>
      </c>
      <c r="D12" s="54">
        <v>0.03</v>
      </c>
      <c r="E12" s="87">
        <f>D12*1</f>
        <v>0.03</v>
      </c>
    </row>
    <row r="14" spans="2:13" ht="15.75" x14ac:dyDescent="0.25">
      <c r="B14" s="38" t="s">
        <v>538</v>
      </c>
    </row>
    <row r="15" spans="2:13" x14ac:dyDescent="0.25">
      <c r="B15" s="100" t="s">
        <v>542</v>
      </c>
      <c r="C15" s="100" t="s">
        <v>543</v>
      </c>
      <c r="D15" s="100" t="s">
        <v>377</v>
      </c>
      <c r="E15" s="100" t="s">
        <v>541</v>
      </c>
      <c r="F15" s="100" t="s">
        <v>556</v>
      </c>
      <c r="G15" s="100" t="s">
        <v>557</v>
      </c>
    </row>
    <row r="16" spans="2:13" x14ac:dyDescent="0.25">
      <c r="B16" s="3" t="s">
        <v>544</v>
      </c>
      <c r="C16" s="3" t="s">
        <v>545</v>
      </c>
      <c r="D16" s="54">
        <v>1</v>
      </c>
      <c r="E16" s="3">
        <v>2002</v>
      </c>
      <c r="F16" s="3">
        <v>4.8</v>
      </c>
      <c r="G16" s="3">
        <f>F16*D16</f>
        <v>4.8</v>
      </c>
    </row>
    <row r="17" spans="2:7" x14ac:dyDescent="0.25">
      <c r="B17" s="3" t="s">
        <v>546</v>
      </c>
      <c r="C17" s="3" t="s">
        <v>547</v>
      </c>
      <c r="D17" s="54">
        <v>1</v>
      </c>
      <c r="E17" s="3">
        <v>2021</v>
      </c>
      <c r="F17" s="3">
        <v>0.99</v>
      </c>
      <c r="G17" s="3">
        <f t="shared" ref="G17:G19" si="1">F17*D17</f>
        <v>0.99</v>
      </c>
    </row>
    <row r="18" spans="2:7" x14ac:dyDescent="0.25">
      <c r="B18" s="3" t="s">
        <v>548</v>
      </c>
      <c r="C18" s="3" t="s">
        <v>549</v>
      </c>
      <c r="D18" s="54">
        <v>0.5</v>
      </c>
      <c r="E18" s="3">
        <v>2007</v>
      </c>
      <c r="F18" s="3" t="s">
        <v>550</v>
      </c>
      <c r="G18" s="3" t="s">
        <v>197</v>
      </c>
    </row>
    <row r="19" spans="2:7" x14ac:dyDescent="0.25">
      <c r="B19" s="3" t="s">
        <v>551</v>
      </c>
      <c r="C19" s="3" t="s">
        <v>552</v>
      </c>
      <c r="D19" s="54">
        <v>0.15</v>
      </c>
      <c r="E19" s="3">
        <v>2021</v>
      </c>
      <c r="F19" s="3">
        <v>10</v>
      </c>
      <c r="G19" s="3">
        <f t="shared" si="1"/>
        <v>1.5</v>
      </c>
    </row>
    <row r="20" spans="2:7" x14ac:dyDescent="0.25">
      <c r="B20" s="3" t="s">
        <v>553</v>
      </c>
      <c r="C20" s="3" t="s">
        <v>554</v>
      </c>
      <c r="D20" s="54">
        <v>1</v>
      </c>
      <c r="E20" s="3">
        <v>2024</v>
      </c>
      <c r="F20" s="3" t="s">
        <v>221</v>
      </c>
      <c r="G20" s="3" t="s">
        <v>197</v>
      </c>
    </row>
    <row r="21" spans="2:7" x14ac:dyDescent="0.25">
      <c r="B21" s="3" t="s">
        <v>555</v>
      </c>
      <c r="C21" s="3" t="s">
        <v>558</v>
      </c>
      <c r="D21" s="54">
        <v>0.8</v>
      </c>
      <c r="E21" s="3">
        <v>1984</v>
      </c>
      <c r="F21" s="3" t="s">
        <v>221</v>
      </c>
      <c r="G21" s="3" t="s">
        <v>197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9549-D795-4127-9C88-67041DD4BB6F}">
  <dimension ref="A2:Q33"/>
  <sheetViews>
    <sheetView workbookViewId="0">
      <selection activeCell="C26" sqref="C26"/>
    </sheetView>
  </sheetViews>
  <sheetFormatPr defaultRowHeight="15" x14ac:dyDescent="0.25"/>
  <cols>
    <col min="2" max="2" width="33.5703125" bestFit="1" customWidth="1"/>
    <col min="3" max="3" width="12.5703125" bestFit="1" customWidth="1"/>
    <col min="16" max="16" width="25.140625" bestFit="1" customWidth="1"/>
    <col min="17" max="17" width="14.28515625" bestFit="1" customWidth="1"/>
  </cols>
  <sheetData>
    <row r="2" spans="1:17" s="1" customFormat="1" ht="18" x14ac:dyDescent="0.25">
      <c r="A2"/>
      <c r="B2" s="6" t="s">
        <v>9</v>
      </c>
      <c r="P2" s="38" t="s">
        <v>321</v>
      </c>
    </row>
    <row r="3" spans="1:17" s="1" customFormat="1" x14ac:dyDescent="0.25">
      <c r="A3"/>
      <c r="B3" s="3" t="s">
        <v>33</v>
      </c>
      <c r="C3" s="8">
        <v>2014</v>
      </c>
      <c r="D3" s="8">
        <v>2015</v>
      </c>
      <c r="E3" s="8">
        <v>2016</v>
      </c>
      <c r="F3" s="8">
        <v>2017</v>
      </c>
      <c r="G3" s="8">
        <v>2018</v>
      </c>
      <c r="H3" s="8">
        <v>2019</v>
      </c>
      <c r="I3" s="8">
        <v>2020</v>
      </c>
      <c r="J3" s="8">
        <v>2021</v>
      </c>
      <c r="K3" s="8">
        <v>2022</v>
      </c>
      <c r="L3" s="8">
        <v>2023</v>
      </c>
      <c r="M3" s="8">
        <v>2024</v>
      </c>
      <c r="P3" s="3" t="s">
        <v>322</v>
      </c>
      <c r="Q3" s="3" t="s">
        <v>332</v>
      </c>
    </row>
    <row r="4" spans="1:17" s="1" customFormat="1" ht="15.75" x14ac:dyDescent="0.25">
      <c r="A4"/>
      <c r="B4" s="38" t="s">
        <v>158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P4" s="3" t="s">
        <v>289</v>
      </c>
      <c r="Q4" s="3" t="s">
        <v>290</v>
      </c>
    </row>
    <row r="5" spans="1:17" s="1" customFormat="1" x14ac:dyDescent="0.25">
      <c r="A5"/>
      <c r="B5" s="3" t="s">
        <v>155</v>
      </c>
      <c r="C5" s="3">
        <v>1051</v>
      </c>
      <c r="D5" s="3">
        <v>1384</v>
      </c>
      <c r="E5" s="3">
        <v>1704</v>
      </c>
      <c r="F5" s="3">
        <v>1649</v>
      </c>
      <c r="G5" s="3">
        <v>2276</v>
      </c>
      <c r="H5" s="3">
        <v>2876</v>
      </c>
      <c r="I5" s="3">
        <v>2167</v>
      </c>
      <c r="J5" s="3">
        <v>3140</v>
      </c>
      <c r="K5" s="3">
        <v>3365</v>
      </c>
      <c r="L5" s="3">
        <v>4193</v>
      </c>
      <c r="M5" s="3">
        <v>3864</v>
      </c>
      <c r="P5" s="3" t="s">
        <v>323</v>
      </c>
      <c r="Q5" s="3" t="s">
        <v>294</v>
      </c>
    </row>
    <row r="6" spans="1:17" s="1" customFormat="1" x14ac:dyDescent="0.25">
      <c r="A6"/>
      <c r="B6" s="3" t="s">
        <v>156</v>
      </c>
      <c r="C6" s="3">
        <v>1032</v>
      </c>
      <c r="D6" s="3">
        <v>1199</v>
      </c>
      <c r="E6" s="3">
        <v>1215</v>
      </c>
      <c r="F6" s="3">
        <v>914</v>
      </c>
      <c r="G6" s="3">
        <v>1329</v>
      </c>
      <c r="H6" s="3">
        <v>1764</v>
      </c>
      <c r="I6" s="3">
        <v>1306</v>
      </c>
      <c r="J6" s="3">
        <v>1664</v>
      </c>
      <c r="K6" s="3">
        <v>2063</v>
      </c>
      <c r="L6" s="3">
        <v>2244</v>
      </c>
      <c r="M6" s="3">
        <v>2164</v>
      </c>
      <c r="P6" s="3" t="s">
        <v>327</v>
      </c>
      <c r="Q6" s="3" t="s">
        <v>328</v>
      </c>
    </row>
    <row r="7" spans="1:17" s="1" customFormat="1" x14ac:dyDescent="0.25">
      <c r="A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P7" s="3" t="s">
        <v>324</v>
      </c>
      <c r="Q7" s="3" t="s">
        <v>329</v>
      </c>
    </row>
    <row r="8" spans="1:17" s="1" customFormat="1" ht="15.75" x14ac:dyDescent="0.25">
      <c r="A8"/>
      <c r="B8" s="101" t="s">
        <v>157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P8" s="3" t="s">
        <v>325</v>
      </c>
      <c r="Q8" s="3" t="s">
        <v>330</v>
      </c>
    </row>
    <row r="9" spans="1:17" s="1" customFormat="1" x14ac:dyDescent="0.25">
      <c r="A9"/>
      <c r="B9" s="3" t="s">
        <v>159</v>
      </c>
      <c r="C9" s="3">
        <v>138</v>
      </c>
      <c r="D9" s="3">
        <v>145</v>
      </c>
      <c r="E9" s="3">
        <v>139</v>
      </c>
      <c r="F9" s="3">
        <v>152</v>
      </c>
      <c r="G9" s="3">
        <v>178</v>
      </c>
      <c r="H9" s="3">
        <v>178</v>
      </c>
      <c r="I9" s="3">
        <v>203</v>
      </c>
      <c r="J9" s="3">
        <v>218</v>
      </c>
      <c r="K9" s="3">
        <v>225</v>
      </c>
      <c r="L9" s="3">
        <v>238</v>
      </c>
      <c r="M9" s="3">
        <v>229</v>
      </c>
      <c r="P9" s="3" t="s">
        <v>326</v>
      </c>
      <c r="Q9" s="3" t="s">
        <v>331</v>
      </c>
    </row>
    <row r="10" spans="1:17" s="1" customFormat="1" x14ac:dyDescent="0.25">
      <c r="A10"/>
      <c r="B10" s="3" t="s">
        <v>160</v>
      </c>
      <c r="C10" s="3">
        <v>51</v>
      </c>
      <c r="D10" s="3">
        <v>53</v>
      </c>
      <c r="E10" s="3">
        <v>61</v>
      </c>
      <c r="F10" s="3">
        <v>65</v>
      </c>
      <c r="G10" s="3">
        <v>66</v>
      </c>
      <c r="H10" s="3">
        <v>65</v>
      </c>
      <c r="I10" s="3">
        <v>57</v>
      </c>
      <c r="J10" s="3">
        <v>60</v>
      </c>
      <c r="K10" s="3">
        <v>67</v>
      </c>
      <c r="L10" s="3">
        <v>69</v>
      </c>
      <c r="M10" s="3">
        <v>69</v>
      </c>
      <c r="P10" s="3"/>
      <c r="Q10" s="3"/>
    </row>
    <row r="11" spans="1:17" s="1" customFormat="1" x14ac:dyDescent="0.25">
      <c r="A11"/>
      <c r="B11" s="3" t="s">
        <v>161</v>
      </c>
      <c r="C11" s="3">
        <v>378</v>
      </c>
      <c r="D11" s="3">
        <v>438</v>
      </c>
      <c r="E11" s="3">
        <v>500</v>
      </c>
      <c r="F11" s="3">
        <v>518</v>
      </c>
      <c r="G11" s="3">
        <v>593</v>
      </c>
      <c r="H11" s="3">
        <v>610</v>
      </c>
      <c r="I11" s="3">
        <v>620</v>
      </c>
      <c r="J11" s="3">
        <v>686</v>
      </c>
      <c r="K11" s="3">
        <v>713</v>
      </c>
      <c r="L11" s="3">
        <v>701</v>
      </c>
      <c r="M11" s="3">
        <v>713</v>
      </c>
      <c r="P11" s="3" t="s">
        <v>246</v>
      </c>
      <c r="Q11" s="3" t="s">
        <v>333</v>
      </c>
    </row>
    <row r="12" spans="1:17" s="1" customFormat="1" x14ac:dyDescent="0.25">
      <c r="A12"/>
      <c r="B12" s="8" t="s">
        <v>163</v>
      </c>
      <c r="C12" s="8">
        <f>SUM(C9:C11)</f>
        <v>567</v>
      </c>
      <c r="D12" s="8">
        <f>SUM(D9:D11)</f>
        <v>636</v>
      </c>
      <c r="E12" s="8">
        <f t="shared" ref="E12:M12" si="0">SUM(E9:E11)</f>
        <v>700</v>
      </c>
      <c r="F12" s="8">
        <f t="shared" si="0"/>
        <v>735</v>
      </c>
      <c r="G12" s="8">
        <f t="shared" si="0"/>
        <v>837</v>
      </c>
      <c r="H12" s="8">
        <f t="shared" si="0"/>
        <v>853</v>
      </c>
      <c r="I12" s="8">
        <f t="shared" si="0"/>
        <v>880</v>
      </c>
      <c r="J12" s="8">
        <f t="shared" si="0"/>
        <v>964</v>
      </c>
      <c r="K12" s="8">
        <f t="shared" si="0"/>
        <v>1005</v>
      </c>
      <c r="L12" s="8">
        <f t="shared" si="0"/>
        <v>1008</v>
      </c>
      <c r="M12" s="8">
        <f t="shared" si="0"/>
        <v>1011</v>
      </c>
      <c r="P12" s="3" t="s">
        <v>246</v>
      </c>
      <c r="Q12" s="3" t="s">
        <v>334</v>
      </c>
    </row>
    <row r="13" spans="1:17" s="1" customFormat="1" x14ac:dyDescent="0.25">
      <c r="A1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P13" s="3" t="s">
        <v>246</v>
      </c>
      <c r="Q13" s="3" t="s">
        <v>335</v>
      </c>
    </row>
    <row r="14" spans="1:17" s="1" customFormat="1" x14ac:dyDescent="0.25">
      <c r="A14"/>
      <c r="B14" s="3" t="s">
        <v>164</v>
      </c>
      <c r="C14" s="3">
        <v>1264</v>
      </c>
      <c r="D14" s="3">
        <v>1368</v>
      </c>
      <c r="E14" s="3">
        <v>1496</v>
      </c>
      <c r="F14" s="3">
        <v>1716</v>
      </c>
      <c r="G14" s="3">
        <v>1965</v>
      </c>
      <c r="H14" s="3">
        <v>2073</v>
      </c>
      <c r="I14" s="3">
        <v>1955</v>
      </c>
      <c r="J14" s="3">
        <v>945</v>
      </c>
      <c r="K14" s="3">
        <v>1930</v>
      </c>
      <c r="L14" s="3">
        <v>2062</v>
      </c>
      <c r="M14" s="3">
        <v>2109</v>
      </c>
    </row>
    <row r="15" spans="1:17" s="1" customFormat="1" x14ac:dyDescent="0.25">
      <c r="A15"/>
      <c r="B15" s="3" t="s">
        <v>165</v>
      </c>
      <c r="C15" s="3">
        <v>81</v>
      </c>
      <c r="D15" s="3">
        <v>67</v>
      </c>
      <c r="E15" s="3">
        <v>27</v>
      </c>
      <c r="F15" s="3">
        <v>10</v>
      </c>
      <c r="G15" s="3">
        <v>32</v>
      </c>
      <c r="H15" s="3">
        <v>36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7" s="1" customFormat="1" x14ac:dyDescent="0.25">
      <c r="A16"/>
      <c r="B16" s="8" t="s">
        <v>162</v>
      </c>
      <c r="C16" s="8">
        <f t="shared" ref="C16:H16" si="1">C12+C14+C15</f>
        <v>1912</v>
      </c>
      <c r="D16" s="8">
        <f t="shared" si="1"/>
        <v>2071</v>
      </c>
      <c r="E16" s="8">
        <f t="shared" si="1"/>
        <v>2223</v>
      </c>
      <c r="F16" s="8">
        <f t="shared" si="1"/>
        <v>2461</v>
      </c>
      <c r="G16" s="8">
        <f t="shared" si="1"/>
        <v>2834</v>
      </c>
      <c r="H16" s="8">
        <f t="shared" si="1"/>
        <v>2962</v>
      </c>
      <c r="I16" s="8">
        <f t="shared" ref="I16:J16" si="2">I12+I14+I15</f>
        <v>2835</v>
      </c>
      <c r="J16" s="8">
        <f t="shared" si="2"/>
        <v>1909</v>
      </c>
      <c r="K16" s="8">
        <f>K12+K14+K15</f>
        <v>2935</v>
      </c>
      <c r="L16" s="8">
        <f>L12+L14+L15</f>
        <v>3070</v>
      </c>
      <c r="M16" s="8">
        <f>M12+M14+M15</f>
        <v>3120</v>
      </c>
    </row>
    <row r="17" spans="1:13" s="1" customFormat="1" x14ac:dyDescent="0.25">
      <c r="A1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s="1" customFormat="1" x14ac:dyDescent="0.25">
      <c r="A18"/>
      <c r="B18" s="70" t="s">
        <v>170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s="1" customFormat="1" x14ac:dyDescent="0.25">
      <c r="A19"/>
      <c r="B19" s="3" t="s">
        <v>166</v>
      </c>
      <c r="C19" s="3">
        <v>127182</v>
      </c>
      <c r="D19" s="3">
        <v>145654</v>
      </c>
      <c r="E19" s="3">
        <v>184829</v>
      </c>
      <c r="F19" s="3">
        <v>184300</v>
      </c>
      <c r="G19" s="3">
        <v>232672</v>
      </c>
      <c r="H19" s="3">
        <v>276197</v>
      </c>
      <c r="I19" s="3">
        <v>289341</v>
      </c>
      <c r="J19" s="3">
        <v>277808</v>
      </c>
      <c r="K19" s="3">
        <v>323527</v>
      </c>
      <c r="L19" s="3">
        <v>329980</v>
      </c>
      <c r="M19" s="3">
        <v>341354</v>
      </c>
    </row>
    <row r="20" spans="1:13" s="1" customFormat="1" x14ac:dyDescent="0.25">
      <c r="A20"/>
      <c r="B20" s="3" t="s">
        <v>167</v>
      </c>
      <c r="C20" s="3">
        <v>15937</v>
      </c>
      <c r="D20" s="3">
        <v>18299</v>
      </c>
      <c r="E20" s="3">
        <v>22625</v>
      </c>
      <c r="F20" s="3">
        <v>22407</v>
      </c>
      <c r="G20" s="3">
        <v>27605</v>
      </c>
      <c r="H20" s="3">
        <v>32576</v>
      </c>
      <c r="I20" s="3">
        <v>34076</v>
      </c>
      <c r="J20" s="3">
        <v>32708</v>
      </c>
      <c r="K20" s="3">
        <v>39789</v>
      </c>
      <c r="L20" s="3">
        <v>39819</v>
      </c>
      <c r="M20" s="3">
        <v>40141</v>
      </c>
    </row>
    <row r="21" spans="1:13" s="1" customFormat="1" x14ac:dyDescent="0.25">
      <c r="A21"/>
      <c r="B21" s="3" t="s">
        <v>168</v>
      </c>
      <c r="C21" s="3">
        <v>630</v>
      </c>
      <c r="D21" s="3">
        <v>2132</v>
      </c>
      <c r="E21" s="3">
        <v>804</v>
      </c>
      <c r="F21" s="3">
        <v>819</v>
      </c>
      <c r="G21" s="3">
        <v>3338</v>
      </c>
      <c r="H21" s="3">
        <v>1144</v>
      </c>
      <c r="I21" s="3">
        <v>2155</v>
      </c>
      <c r="J21" s="3">
        <v>3838</v>
      </c>
      <c r="K21" s="3">
        <v>2776</v>
      </c>
      <c r="L21" s="3">
        <v>3082</v>
      </c>
      <c r="M21" s="3">
        <v>4591</v>
      </c>
    </row>
    <row r="22" spans="1:13" s="1" customFormat="1" x14ac:dyDescent="0.25">
      <c r="A22"/>
      <c r="B22" s="8" t="s">
        <v>169</v>
      </c>
      <c r="C22" s="8">
        <f>SUM(C19:C21)</f>
        <v>143749</v>
      </c>
      <c r="D22" s="8">
        <f t="shared" ref="D22:M22" si="3">SUM(D19:D21)</f>
        <v>166085</v>
      </c>
      <c r="E22" s="8">
        <f t="shared" si="3"/>
        <v>208258</v>
      </c>
      <c r="F22" s="8">
        <f t="shared" si="3"/>
        <v>207526</v>
      </c>
      <c r="G22" s="8">
        <f t="shared" si="3"/>
        <v>263615</v>
      </c>
      <c r="H22" s="8">
        <f t="shared" si="3"/>
        <v>309917</v>
      </c>
      <c r="I22" s="8">
        <f>SUM(I19:I21)</f>
        <v>325572</v>
      </c>
      <c r="J22" s="8">
        <f>SUM(J19:J21)</f>
        <v>314354</v>
      </c>
      <c r="K22" s="8">
        <f t="shared" si="3"/>
        <v>366092</v>
      </c>
      <c r="L22" s="8">
        <f t="shared" si="3"/>
        <v>372881</v>
      </c>
      <c r="M22" s="8">
        <f t="shared" si="3"/>
        <v>386086</v>
      </c>
    </row>
    <row r="23" spans="1:13" s="1" customFormat="1" x14ac:dyDescent="0.25">
      <c r="A2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s="1" customFormat="1" x14ac:dyDescent="0.25">
      <c r="A2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1" customFormat="1" ht="15.75" x14ac:dyDescent="0.25">
      <c r="A25"/>
      <c r="B25" s="38" t="s">
        <v>30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1" customFormat="1" x14ac:dyDescent="0.25">
      <c r="A26"/>
      <c r="B26" s="3" t="s">
        <v>277</v>
      </c>
      <c r="C26" s="71"/>
      <c r="D26" s="71">
        <f>'Income Statement'!C7/D12</f>
        <v>0.46855345911949686</v>
      </c>
      <c r="E26" s="71">
        <f>'Income Statement'!D7/E12</f>
        <v>0.43099999999999999</v>
      </c>
      <c r="F26" s="71">
        <f>'Income Statement'!E7/F12</f>
        <v>0.49591836734693878</v>
      </c>
      <c r="G26" s="71">
        <f>'Income Statement'!F7/G12</f>
        <v>0.54372759856630826</v>
      </c>
      <c r="H26" s="71">
        <f>'Income Statement'!G7/H12</f>
        <v>0.62485345838218054</v>
      </c>
      <c r="I26" s="71">
        <f>'Income Statement'!H7/I12</f>
        <v>0.5567045454545454</v>
      </c>
      <c r="J26" s="71">
        <f>'Income Statement'!I7/J12</f>
        <v>0.50549792531120341</v>
      </c>
      <c r="K26" s="71">
        <f>'Income Statement'!J7/K12</f>
        <v>0.59134328358208954</v>
      </c>
      <c r="L26" s="71">
        <f>'Income Statement'!K7/L12</f>
        <v>0.58918650793650795</v>
      </c>
      <c r="M26" s="71">
        <f>'Income Statement'!L7/M12</f>
        <v>0.60712166172106818</v>
      </c>
    </row>
    <row r="27" spans="1:13" s="1" customFormat="1" x14ac:dyDescent="0.25">
      <c r="A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1" customFormat="1" x14ac:dyDescent="0.25">
      <c r="A2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1" customFormat="1" ht="15.75" x14ac:dyDescent="0.25">
      <c r="A29"/>
      <c r="B29" s="38" t="s">
        <v>205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1" customFormat="1" x14ac:dyDescent="0.25">
      <c r="A30"/>
      <c r="B30" s="18" t="s">
        <v>55</v>
      </c>
      <c r="C30" s="18" t="s">
        <v>223</v>
      </c>
      <c r="D30" s="18" t="s">
        <v>224</v>
      </c>
      <c r="E30" s="18" t="s">
        <v>225</v>
      </c>
      <c r="F30" s="18" t="s">
        <v>355</v>
      </c>
      <c r="G30" s="3"/>
      <c r="H30" s="3"/>
      <c r="I30" s="3"/>
      <c r="J30" s="3"/>
      <c r="K30" s="3"/>
      <c r="L30" s="3"/>
      <c r="M30" s="3"/>
    </row>
    <row r="31" spans="1:13" s="1" customFormat="1" x14ac:dyDescent="0.25">
      <c r="A31"/>
      <c r="B31" s="4" t="s">
        <v>245</v>
      </c>
      <c r="C31" s="4" t="s">
        <v>245</v>
      </c>
      <c r="D31" s="4" t="s">
        <v>227</v>
      </c>
      <c r="E31" s="4" t="s">
        <v>450</v>
      </c>
      <c r="F31" s="4" t="s">
        <v>449</v>
      </c>
      <c r="G31" s="3"/>
      <c r="H31" s="3"/>
      <c r="I31" s="3"/>
      <c r="J31" s="3"/>
      <c r="K31" s="3"/>
      <c r="L31" s="3"/>
      <c r="M31" s="3"/>
    </row>
    <row r="32" spans="1:13" s="1" customFormat="1" x14ac:dyDescent="0.25">
      <c r="A32"/>
      <c r="B32" s="4" t="s">
        <v>247</v>
      </c>
      <c r="C32" s="4" t="s">
        <v>451</v>
      </c>
      <c r="D32" s="4" t="s">
        <v>227</v>
      </c>
      <c r="E32" s="4" t="s">
        <v>453</v>
      </c>
      <c r="F32" s="4" t="s">
        <v>452</v>
      </c>
      <c r="G32" s="3"/>
      <c r="H32" s="3"/>
      <c r="I32" s="3"/>
      <c r="J32" s="3"/>
      <c r="K32" s="3"/>
      <c r="L32" s="3"/>
      <c r="M32" s="3"/>
    </row>
    <row r="33" spans="1:13" s="1" customFormat="1" x14ac:dyDescent="0.25">
      <c r="A33"/>
      <c r="B33" s="4" t="s">
        <v>248</v>
      </c>
      <c r="C33" s="4" t="s">
        <v>169</v>
      </c>
      <c r="D33" s="4" t="s">
        <v>227</v>
      </c>
      <c r="E33" s="4" t="s">
        <v>454</v>
      </c>
      <c r="F33" s="4" t="s">
        <v>455</v>
      </c>
      <c r="G33" s="3"/>
      <c r="H33" s="3"/>
      <c r="I33" s="3"/>
      <c r="J33" s="3"/>
      <c r="K33" s="3"/>
      <c r="L33" s="3"/>
      <c r="M33" s="3"/>
    </row>
  </sheetData>
  <phoneticPr fontId="2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4373-C1C3-46DD-97F7-6CB3CB789AD7}">
  <dimension ref="A1:L55"/>
  <sheetViews>
    <sheetView topLeftCell="A18" workbookViewId="0">
      <selection activeCell="F26" sqref="F26"/>
    </sheetView>
  </sheetViews>
  <sheetFormatPr defaultColWidth="9" defaultRowHeight="14.25" x14ac:dyDescent="0.2"/>
  <cols>
    <col min="1" max="1" width="9" style="1"/>
    <col min="2" max="2" width="31.7109375" style="4" bestFit="1" customWidth="1"/>
    <col min="3" max="5" width="10.140625" style="4" customWidth="1"/>
    <col min="6" max="16384" width="9" style="4"/>
  </cols>
  <sheetData>
    <row r="1" spans="1:12" s="1" customFormat="1" x14ac:dyDescent="0.2"/>
    <row r="2" spans="1:12" s="1" customFormat="1" ht="18" x14ac:dyDescent="0.25">
      <c r="B2" s="6" t="s">
        <v>32</v>
      </c>
    </row>
    <row r="3" spans="1:12" s="3" customFormat="1" x14ac:dyDescent="0.2">
      <c r="A3" s="1"/>
      <c r="B3" s="5" t="s">
        <v>33</v>
      </c>
      <c r="C3" s="8">
        <v>2015</v>
      </c>
      <c r="D3" s="8">
        <v>2016</v>
      </c>
      <c r="E3" s="8">
        <v>2017</v>
      </c>
      <c r="F3" s="8">
        <v>2018</v>
      </c>
      <c r="G3" s="8">
        <v>2019</v>
      </c>
      <c r="H3" s="8">
        <v>2020</v>
      </c>
      <c r="I3" s="8">
        <v>2021</v>
      </c>
      <c r="J3" s="8">
        <v>2022</v>
      </c>
      <c r="K3" s="8">
        <v>2023</v>
      </c>
      <c r="L3" s="8">
        <v>2024</v>
      </c>
    </row>
    <row r="4" spans="1:12" x14ac:dyDescent="0.2">
      <c r="B4" s="3" t="s">
        <v>34</v>
      </c>
      <c r="C4" s="3">
        <v>122.6</v>
      </c>
      <c r="D4" s="3">
        <v>123.6</v>
      </c>
      <c r="E4" s="3">
        <v>154.4</v>
      </c>
      <c r="F4" s="3">
        <v>220.1</v>
      </c>
      <c r="G4" s="3">
        <v>260.8</v>
      </c>
      <c r="H4" s="3">
        <v>201.6</v>
      </c>
      <c r="I4" s="3">
        <v>266.10000000000002</v>
      </c>
      <c r="J4" s="3">
        <v>260.8</v>
      </c>
      <c r="K4" s="3">
        <v>241.6</v>
      </c>
      <c r="L4" s="3">
        <v>203.7</v>
      </c>
    </row>
    <row r="5" spans="1:12" x14ac:dyDescent="0.2">
      <c r="B5" s="3" t="s">
        <v>6</v>
      </c>
      <c r="C5" s="3">
        <v>59</v>
      </c>
      <c r="D5" s="3">
        <v>62.4</v>
      </c>
      <c r="E5" s="3">
        <v>73.5</v>
      </c>
      <c r="F5" s="3">
        <v>80.7</v>
      </c>
      <c r="G5" s="3">
        <v>188</v>
      </c>
      <c r="H5" s="3">
        <v>70.900000000000006</v>
      </c>
      <c r="I5" s="3">
        <v>3.6</v>
      </c>
      <c r="J5" s="3">
        <v>86.8</v>
      </c>
      <c r="K5" s="3">
        <v>272.5</v>
      </c>
      <c r="L5" s="3">
        <v>101.7</v>
      </c>
    </row>
    <row r="6" spans="1:12" x14ac:dyDescent="0.2">
      <c r="B6" s="3" t="s">
        <v>5</v>
      </c>
      <c r="C6" s="3">
        <v>116.4</v>
      </c>
      <c r="D6" s="3">
        <v>115.7</v>
      </c>
      <c r="E6" s="3">
        <v>136.6</v>
      </c>
      <c r="F6" s="3">
        <v>154.30000000000001</v>
      </c>
      <c r="G6" s="3">
        <v>84.2</v>
      </c>
      <c r="H6" s="3">
        <v>217.4</v>
      </c>
      <c r="I6" s="3">
        <v>217.6</v>
      </c>
      <c r="J6" s="3">
        <v>246.7</v>
      </c>
      <c r="K6" s="3">
        <v>79.8</v>
      </c>
      <c r="L6" s="3">
        <v>308.39999999999998</v>
      </c>
    </row>
    <row r="7" spans="1:12" x14ac:dyDescent="0.2">
      <c r="B7" s="8" t="s">
        <v>35</v>
      </c>
      <c r="C7" s="46">
        <f t="shared" ref="C7:D7" si="0">SUM(C4:C6)</f>
        <v>298</v>
      </c>
      <c r="D7" s="46">
        <f t="shared" si="0"/>
        <v>301.7</v>
      </c>
      <c r="E7" s="46">
        <f>SUM(E4:E6)</f>
        <v>364.5</v>
      </c>
      <c r="F7" s="46">
        <f>SUM(F4:F6)</f>
        <v>455.1</v>
      </c>
      <c r="G7" s="46">
        <f>SUM(G4:G6)</f>
        <v>533</v>
      </c>
      <c r="H7" s="46">
        <f t="shared" ref="H7:L7" si="1">SUM(H4:H6)</f>
        <v>489.9</v>
      </c>
      <c r="I7" s="46">
        <f t="shared" si="1"/>
        <v>487.30000000000007</v>
      </c>
      <c r="J7" s="46">
        <f t="shared" si="1"/>
        <v>594.29999999999995</v>
      </c>
      <c r="K7" s="46">
        <f t="shared" si="1"/>
        <v>593.9</v>
      </c>
      <c r="L7" s="46">
        <f t="shared" si="1"/>
        <v>613.79999999999995</v>
      </c>
    </row>
    <row r="8" spans="1:12" x14ac:dyDescent="0.2">
      <c r="B8" s="3" t="s">
        <v>311</v>
      </c>
      <c r="C8" s="4">
        <v>28.23</v>
      </c>
      <c r="D8" s="4">
        <v>29.8</v>
      </c>
      <c r="E8" s="4">
        <v>37.6</v>
      </c>
      <c r="F8" s="4">
        <v>42.5</v>
      </c>
      <c r="G8" s="4">
        <v>48</v>
      </c>
      <c r="H8" s="4">
        <v>63.2</v>
      </c>
      <c r="I8" s="4">
        <v>51.5</v>
      </c>
      <c r="J8" s="4">
        <v>67.3</v>
      </c>
      <c r="K8" s="4">
        <v>70.5</v>
      </c>
      <c r="L8" s="4">
        <v>83.4</v>
      </c>
    </row>
    <row r="9" spans="1:12" x14ac:dyDescent="0.2">
      <c r="B9" s="8" t="s">
        <v>312</v>
      </c>
      <c r="C9" s="72">
        <f t="shared" ref="C9:K9" si="2">C7-C8</f>
        <v>269.77</v>
      </c>
      <c r="D9" s="21">
        <f t="shared" si="2"/>
        <v>271.89999999999998</v>
      </c>
      <c r="E9" s="21">
        <f t="shared" si="2"/>
        <v>326.89999999999998</v>
      </c>
      <c r="F9" s="21">
        <f t="shared" si="2"/>
        <v>412.6</v>
      </c>
      <c r="G9" s="21">
        <f t="shared" si="2"/>
        <v>485</v>
      </c>
      <c r="H9" s="21">
        <f t="shared" si="2"/>
        <v>426.7</v>
      </c>
      <c r="I9" s="21">
        <f t="shared" si="2"/>
        <v>435.80000000000007</v>
      </c>
      <c r="J9" s="21">
        <f t="shared" si="2"/>
        <v>527</v>
      </c>
      <c r="K9" s="21">
        <f t="shared" si="2"/>
        <v>523.4</v>
      </c>
      <c r="L9" s="21">
        <f>L7-L8</f>
        <v>530.4</v>
      </c>
    </row>
    <row r="10" spans="1:12" x14ac:dyDescent="0.2">
      <c r="B10" s="3" t="s">
        <v>118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8">
        <v>0</v>
      </c>
    </row>
    <row r="11" spans="1:12" x14ac:dyDescent="0.2">
      <c r="B11" s="3" t="s">
        <v>36</v>
      </c>
      <c r="C11" s="3">
        <v>-166.1</v>
      </c>
      <c r="D11" s="3">
        <v>-208.3</v>
      </c>
      <c r="E11" s="3">
        <v>-208.3</v>
      </c>
      <c r="F11" s="3">
        <v>-263.60000000000002</v>
      </c>
      <c r="G11" s="3">
        <v>-309.89999999999998</v>
      </c>
      <c r="H11" s="3">
        <v>-325.60000000000002</v>
      </c>
      <c r="I11" s="3">
        <v>-314.39999999999998</v>
      </c>
      <c r="J11" s="3">
        <v>-366.1</v>
      </c>
      <c r="K11" s="3">
        <v>-372.9</v>
      </c>
      <c r="L11" s="3">
        <v>-386.1</v>
      </c>
    </row>
    <row r="12" spans="1:12" x14ac:dyDescent="0.2">
      <c r="B12" s="3" t="s">
        <v>12</v>
      </c>
      <c r="C12" s="3">
        <v>-58.9</v>
      </c>
      <c r="D12" s="3">
        <v>-58.2</v>
      </c>
      <c r="E12" s="3">
        <v>-82.7</v>
      </c>
      <c r="F12" s="3">
        <v>-96.8</v>
      </c>
      <c r="G12" s="3">
        <v>-99.7</v>
      </c>
      <c r="H12" s="3">
        <v>-122.6</v>
      </c>
      <c r="I12" s="3">
        <v>-95.8</v>
      </c>
      <c r="J12" s="3">
        <v>-131.80000000000001</v>
      </c>
      <c r="K12" s="3">
        <v>-137.19999999999999</v>
      </c>
      <c r="L12" s="3">
        <v>-167.1</v>
      </c>
    </row>
    <row r="13" spans="1:12" x14ac:dyDescent="0.2">
      <c r="B13" s="8" t="s">
        <v>98</v>
      </c>
      <c r="C13" s="8">
        <f t="shared" ref="C13:D13" si="3">SUM(C11:C12)</f>
        <v>-225</v>
      </c>
      <c r="D13" s="8">
        <f t="shared" si="3"/>
        <v>-266.5</v>
      </c>
      <c r="E13" s="8">
        <f>SUM(E11:E12)</f>
        <v>-291</v>
      </c>
      <c r="F13" s="8">
        <f t="shared" ref="F13:L13" si="4">SUM(F11:F12)</f>
        <v>-360.40000000000003</v>
      </c>
      <c r="G13" s="8">
        <f>SUM(G11:G12)</f>
        <v>-409.59999999999997</v>
      </c>
      <c r="H13" s="8">
        <f t="shared" si="4"/>
        <v>-448.20000000000005</v>
      </c>
      <c r="I13" s="8">
        <f t="shared" si="4"/>
        <v>-410.2</v>
      </c>
      <c r="J13" s="8">
        <f>SUM(J11:J12)</f>
        <v>-497.90000000000003</v>
      </c>
      <c r="K13" s="8">
        <f>SUM(K11:K12)</f>
        <v>-510.09999999999997</v>
      </c>
      <c r="L13" s="8">
        <f t="shared" si="4"/>
        <v>-553.20000000000005</v>
      </c>
    </row>
    <row r="14" spans="1:12" x14ac:dyDescent="0.2">
      <c r="B14" s="8" t="s">
        <v>37</v>
      </c>
      <c r="C14" s="53">
        <f t="shared" ref="C14:D14" si="5">C7+(SUM(C11:C12))</f>
        <v>73</v>
      </c>
      <c r="D14" s="53">
        <f t="shared" si="5"/>
        <v>35.199999999999989</v>
      </c>
      <c r="E14" s="53">
        <f>E7+(SUM(E11:E12))</f>
        <v>73.5</v>
      </c>
      <c r="F14" s="53">
        <f t="shared" ref="F14:L14" si="6">F7+(SUM(F11:F12))</f>
        <v>94.699999999999989</v>
      </c>
      <c r="G14" s="53">
        <f>G7+(SUM(G11:G12))</f>
        <v>123.40000000000003</v>
      </c>
      <c r="H14" s="53">
        <f t="shared" si="6"/>
        <v>41.699999999999932</v>
      </c>
      <c r="I14" s="53">
        <f t="shared" si="6"/>
        <v>77.10000000000008</v>
      </c>
      <c r="J14" s="53">
        <f>J7+(SUM(J11:J12))</f>
        <v>96.39999999999992</v>
      </c>
      <c r="K14" s="53">
        <f>K7+K10+K13</f>
        <v>83.800000000000011</v>
      </c>
      <c r="L14" s="53">
        <f t="shared" si="6"/>
        <v>60.599999999999909</v>
      </c>
    </row>
    <row r="15" spans="1:12" x14ac:dyDescent="0.2">
      <c r="B15" s="3" t="s">
        <v>10</v>
      </c>
      <c r="C15" s="3">
        <v>-59.2</v>
      </c>
      <c r="D15" s="3">
        <v>-64.5</v>
      </c>
      <c r="E15" s="3">
        <v>-58.4</v>
      </c>
      <c r="F15" s="3">
        <v>-77.099999999999994</v>
      </c>
      <c r="G15" s="3">
        <v>-111.8</v>
      </c>
      <c r="H15" s="3">
        <v>-106</v>
      </c>
      <c r="I15" s="3">
        <v>-107.8</v>
      </c>
      <c r="J15" s="3">
        <v>-102.7</v>
      </c>
      <c r="K15" s="3">
        <v>-107.5</v>
      </c>
      <c r="L15" s="3">
        <v>-114.5</v>
      </c>
    </row>
    <row r="16" spans="1:12" x14ac:dyDescent="0.2">
      <c r="B16" s="3" t="s">
        <v>38</v>
      </c>
      <c r="C16" s="3">
        <v>-0.3</v>
      </c>
      <c r="D16" s="3">
        <v>-7.9</v>
      </c>
      <c r="E16" s="3">
        <v>0</v>
      </c>
      <c r="F16" s="3">
        <v>-0.3</v>
      </c>
      <c r="G16" s="3">
        <v>-0.5</v>
      </c>
      <c r="H16" s="3">
        <v>0</v>
      </c>
      <c r="I16" s="3">
        <v>-0.5</v>
      </c>
      <c r="J16" s="3">
        <v>-0.2</v>
      </c>
      <c r="K16" s="3">
        <v>-2.1</v>
      </c>
      <c r="L16" s="3">
        <v>-0.6</v>
      </c>
    </row>
    <row r="17" spans="2:12" x14ac:dyDescent="0.2">
      <c r="B17" s="3" t="s">
        <v>39</v>
      </c>
      <c r="C17" s="3">
        <v>-3.3</v>
      </c>
      <c r="D17" s="3">
        <v>-4</v>
      </c>
      <c r="E17" s="3">
        <v>-7.2</v>
      </c>
      <c r="F17" s="3">
        <v>-8.9</v>
      </c>
      <c r="G17" s="3">
        <v>-9.4</v>
      </c>
      <c r="H17" s="3">
        <v>-8.6999999999999993</v>
      </c>
      <c r="I17" s="3">
        <v>-8.9</v>
      </c>
      <c r="J17" s="3">
        <v>-11.4</v>
      </c>
      <c r="K17" s="3">
        <v>-12.1</v>
      </c>
      <c r="L17" s="3">
        <v>-15.2</v>
      </c>
    </row>
    <row r="18" spans="2:12" x14ac:dyDescent="0.2">
      <c r="B18" s="3" t="s">
        <v>40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2:12" x14ac:dyDescent="0.2">
      <c r="B19" s="3" t="s">
        <v>41</v>
      </c>
      <c r="C19" s="3">
        <v>-1.3</v>
      </c>
      <c r="D19" s="3">
        <v>-1.3</v>
      </c>
      <c r="E19" s="3">
        <v>-1.3</v>
      </c>
      <c r="F19" s="3">
        <v>-1.3</v>
      </c>
      <c r="G19" s="3">
        <v>-1.2</v>
      </c>
      <c r="H19" s="3">
        <v>-1.3</v>
      </c>
      <c r="I19" s="3">
        <v>-0.2</v>
      </c>
      <c r="J19" s="3">
        <v>0</v>
      </c>
      <c r="K19" s="3">
        <v>0</v>
      </c>
      <c r="L19" s="3">
        <v>0</v>
      </c>
    </row>
    <row r="20" spans="2:12" x14ac:dyDescent="0.2">
      <c r="B20" s="8" t="s">
        <v>99</v>
      </c>
      <c r="C20" s="8">
        <f t="shared" ref="C20" si="7">SUM(C15:C19)</f>
        <v>-64.099999999999994</v>
      </c>
      <c r="D20" s="8">
        <f>SUM(D15:D19)</f>
        <v>-77.7</v>
      </c>
      <c r="E20" s="8">
        <f>SUM(E15:E19)</f>
        <v>-66.899999999999991</v>
      </c>
      <c r="F20" s="8">
        <f t="shared" ref="F20:L20" si="8">SUM(F15:F19)</f>
        <v>-87.6</v>
      </c>
      <c r="G20" s="8">
        <f>SUM(G15:G19)</f>
        <v>-122.9</v>
      </c>
      <c r="H20" s="8">
        <f t="shared" si="8"/>
        <v>-116</v>
      </c>
      <c r="I20" s="8">
        <f t="shared" si="8"/>
        <v>-117.4</v>
      </c>
      <c r="J20" s="8">
        <f t="shared" si="8"/>
        <v>-114.30000000000001</v>
      </c>
      <c r="K20" s="8">
        <f t="shared" si="8"/>
        <v>-121.69999999999999</v>
      </c>
      <c r="L20" s="8">
        <f t="shared" si="8"/>
        <v>-130.29999999999998</v>
      </c>
    </row>
    <row r="21" spans="2:12" x14ac:dyDescent="0.2">
      <c r="B21" s="8" t="s">
        <v>42</v>
      </c>
      <c r="C21" s="49">
        <f t="shared" ref="C21" si="9">C14+(SUM(C15:C19))</f>
        <v>8.9000000000000057</v>
      </c>
      <c r="D21" s="49">
        <f>D14+(SUM(D15:D19))</f>
        <v>-42.500000000000014</v>
      </c>
      <c r="E21" s="49">
        <f>E14+(SUM(E15:E19))</f>
        <v>6.6000000000000085</v>
      </c>
      <c r="F21" s="49">
        <f t="shared" ref="F21:J21" si="10">F14+(SUM(F15:F19))</f>
        <v>7.0999999999999943</v>
      </c>
      <c r="G21" s="49">
        <f>G14+(SUM(G15:G19))</f>
        <v>0.50000000000002842</v>
      </c>
      <c r="H21" s="49">
        <f t="shared" si="10"/>
        <v>-74.300000000000068</v>
      </c>
      <c r="I21" s="49">
        <f t="shared" si="10"/>
        <v>-40.299999999999926</v>
      </c>
      <c r="J21" s="49">
        <f t="shared" si="10"/>
        <v>-17.900000000000091</v>
      </c>
      <c r="K21" s="49">
        <f>K14+K20</f>
        <v>-37.899999999999977</v>
      </c>
      <c r="L21" s="49">
        <f>L14+(SUM(L15:L19))</f>
        <v>-69.700000000000074</v>
      </c>
    </row>
    <row r="22" spans="2:12" x14ac:dyDescent="0.2">
      <c r="B22" s="3" t="s">
        <v>140</v>
      </c>
      <c r="C22" s="3">
        <v>0.3</v>
      </c>
      <c r="D22" s="3">
        <v>-15.7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2:12" x14ac:dyDescent="0.2">
      <c r="B23" s="3" t="s">
        <v>43</v>
      </c>
      <c r="C23" s="3">
        <v>54.2</v>
      </c>
      <c r="D23" s="3">
        <v>42.1</v>
      </c>
      <c r="E23" s="3">
        <v>38.299999999999997</v>
      </c>
      <c r="F23" s="3">
        <v>123.9</v>
      </c>
      <c r="G23" s="3">
        <v>45.2</v>
      </c>
      <c r="H23" s="3">
        <v>26.9</v>
      </c>
      <c r="I23" s="3">
        <v>39.299999999999997</v>
      </c>
      <c r="J23" s="3">
        <v>28.1</v>
      </c>
      <c r="K23" s="3">
        <v>33.799999999999997</v>
      </c>
      <c r="L23" s="3">
        <v>22</v>
      </c>
    </row>
    <row r="24" spans="2:12" x14ac:dyDescent="0.2">
      <c r="B24" s="3" t="s">
        <v>141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</v>
      </c>
      <c r="I24" s="3">
        <v>-0.2</v>
      </c>
      <c r="J24" s="3">
        <v>-0.2</v>
      </c>
      <c r="K24" s="3">
        <v>-0.4</v>
      </c>
      <c r="L24" s="3">
        <v>0.1</v>
      </c>
    </row>
    <row r="25" spans="2:12" x14ac:dyDescent="0.2">
      <c r="B25" s="8" t="s">
        <v>44</v>
      </c>
      <c r="C25" s="47">
        <f t="shared" ref="C25:K25" si="11">C21+(C22)+(SUM(C23:C24))</f>
        <v>63.400000000000006</v>
      </c>
      <c r="D25" s="47">
        <f t="shared" si="11"/>
        <v>-16.100000000000016</v>
      </c>
      <c r="E25" s="47">
        <f t="shared" si="11"/>
        <v>44.900000000000006</v>
      </c>
      <c r="F25" s="47">
        <f t="shared" si="11"/>
        <v>131</v>
      </c>
      <c r="G25" s="47">
        <f t="shared" si="11"/>
        <v>45.700000000000031</v>
      </c>
      <c r="H25" s="47">
        <f t="shared" si="11"/>
        <v>-43.40000000000007</v>
      </c>
      <c r="I25" s="47">
        <f t="shared" si="11"/>
        <v>-1.1999999999999318</v>
      </c>
      <c r="J25" s="47">
        <f t="shared" si="11"/>
        <v>9.9999999999999112</v>
      </c>
      <c r="K25" s="47">
        <f t="shared" si="11"/>
        <v>-4.4999999999999787</v>
      </c>
      <c r="L25" s="47">
        <f t="shared" ref="L25" si="12">L21+(L22)+(SUM(L23:L24))</f>
        <v>-47.600000000000072</v>
      </c>
    </row>
    <row r="26" spans="2:12" x14ac:dyDescent="0.2">
      <c r="B26" s="3" t="s">
        <v>45</v>
      </c>
      <c r="C26" s="3">
        <v>0</v>
      </c>
      <c r="D26" s="3">
        <v>0</v>
      </c>
      <c r="E26" s="3">
        <v>0</v>
      </c>
      <c r="F26" s="3">
        <v>0</v>
      </c>
      <c r="G26" s="3">
        <v>1.1000000000000001</v>
      </c>
      <c r="H26" s="3">
        <v>0.7</v>
      </c>
      <c r="I26" s="3">
        <v>0.5</v>
      </c>
      <c r="J26" s="3">
        <v>0.9</v>
      </c>
      <c r="K26" s="3">
        <v>1.6</v>
      </c>
      <c r="L26" s="3">
        <v>3.2</v>
      </c>
    </row>
    <row r="27" spans="2:12" x14ac:dyDescent="0.2">
      <c r="B27" s="3" t="s">
        <v>46</v>
      </c>
      <c r="C27" s="3">
        <v>-4.3</v>
      </c>
      <c r="D27" s="3">
        <v>-3.9</v>
      </c>
      <c r="E27" s="3">
        <v>-5.4</v>
      </c>
      <c r="F27" s="3">
        <v>-6</v>
      </c>
      <c r="G27" s="3">
        <v>-5</v>
      </c>
      <c r="H27" s="3">
        <v>-3.7</v>
      </c>
      <c r="I27" s="3">
        <v>-4.3</v>
      </c>
      <c r="J27" s="3">
        <v>-3.5</v>
      </c>
      <c r="K27" s="3">
        <v>-6.2</v>
      </c>
      <c r="L27" s="3">
        <v>-12.6</v>
      </c>
    </row>
    <row r="28" spans="2:12" x14ac:dyDescent="0.2">
      <c r="B28" s="3" t="s">
        <v>113</v>
      </c>
      <c r="C28" s="3">
        <f t="shared" ref="C28:J28" si="13">C26+C27</f>
        <v>-4.3</v>
      </c>
      <c r="D28" s="3">
        <f t="shared" si="13"/>
        <v>-3.9</v>
      </c>
      <c r="E28" s="3">
        <f>E26+E27</f>
        <v>-5.4</v>
      </c>
      <c r="F28" s="3">
        <f t="shared" si="13"/>
        <v>-6</v>
      </c>
      <c r="G28" s="3">
        <f>G26+G27</f>
        <v>-3.9</v>
      </c>
      <c r="H28" s="3">
        <f t="shared" si="13"/>
        <v>-3</v>
      </c>
      <c r="I28" s="3">
        <f t="shared" si="13"/>
        <v>-3.8</v>
      </c>
      <c r="J28" s="3">
        <f t="shared" si="13"/>
        <v>-2.6</v>
      </c>
      <c r="K28" s="3">
        <f>K26+K27</f>
        <v>-4.5999999999999996</v>
      </c>
      <c r="L28" s="3">
        <f>L26+L27</f>
        <v>-9.3999999999999986</v>
      </c>
    </row>
    <row r="29" spans="2:12" x14ac:dyDescent="0.2">
      <c r="B29" s="8" t="s">
        <v>47</v>
      </c>
      <c r="C29" s="44">
        <f t="shared" ref="C29:D29" si="14">(C25+C26)+C27</f>
        <v>59.100000000000009</v>
      </c>
      <c r="D29" s="44">
        <f t="shared" si="14"/>
        <v>-20.000000000000014</v>
      </c>
      <c r="E29" s="44">
        <f>(E25+E26)+E27</f>
        <v>39.500000000000007</v>
      </c>
      <c r="F29" s="44">
        <f t="shared" ref="F29:L29" si="15">(F25+F26)+F27</f>
        <v>125</v>
      </c>
      <c r="G29" s="44">
        <f>(G25+G26)+G27</f>
        <v>41.800000000000033</v>
      </c>
      <c r="H29" s="44">
        <f t="shared" si="15"/>
        <v>-46.40000000000007</v>
      </c>
      <c r="I29" s="44">
        <f t="shared" si="15"/>
        <v>-4.9999999999999316</v>
      </c>
      <c r="J29" s="44">
        <f t="shared" si="15"/>
        <v>7.3999999999999115</v>
      </c>
      <c r="K29" s="44">
        <f t="shared" si="15"/>
        <v>-9.0999999999999783</v>
      </c>
      <c r="L29" s="44">
        <f t="shared" si="15"/>
        <v>-57.000000000000071</v>
      </c>
    </row>
    <row r="30" spans="2:12" x14ac:dyDescent="0.2">
      <c r="B30" s="3" t="s">
        <v>48</v>
      </c>
      <c r="C30" s="3">
        <v>-0.5</v>
      </c>
      <c r="D30" s="3">
        <v>-1.5</v>
      </c>
      <c r="E30" s="3">
        <v>-0.6</v>
      </c>
      <c r="F30" s="3">
        <v>-19.100000000000001</v>
      </c>
      <c r="G30" s="3">
        <v>-8.5</v>
      </c>
      <c r="H30" s="3">
        <v>6.9</v>
      </c>
      <c r="I30" s="3">
        <v>-4.8</v>
      </c>
      <c r="J30" s="3">
        <v>-5</v>
      </c>
      <c r="K30" s="3">
        <v>2.1</v>
      </c>
      <c r="L30" s="3">
        <v>13.6</v>
      </c>
    </row>
    <row r="31" spans="2:12" x14ac:dyDescent="0.2">
      <c r="B31" s="8" t="s">
        <v>119</v>
      </c>
      <c r="C31" s="47">
        <f t="shared" ref="C31:D31" si="16">C29+C30</f>
        <v>58.600000000000009</v>
      </c>
      <c r="D31" s="47">
        <f t="shared" si="16"/>
        <v>-21.500000000000014</v>
      </c>
      <c r="E31" s="47">
        <f>E29+E30</f>
        <v>38.900000000000006</v>
      </c>
      <c r="F31" s="47">
        <f t="shared" ref="F31:L31" si="17">F29+F30</f>
        <v>105.9</v>
      </c>
      <c r="G31" s="47">
        <f>G29+G30</f>
        <v>33.300000000000033</v>
      </c>
      <c r="H31" s="47">
        <f t="shared" si="17"/>
        <v>-39.500000000000071</v>
      </c>
      <c r="I31" s="47">
        <f t="shared" si="17"/>
        <v>-9.7999999999999314</v>
      </c>
      <c r="J31" s="47">
        <f t="shared" si="17"/>
        <v>2.3999999999999115</v>
      </c>
      <c r="K31" s="47">
        <f t="shared" si="17"/>
        <v>-6.9999999999999787</v>
      </c>
      <c r="L31" s="47">
        <f t="shared" si="17"/>
        <v>-43.40000000000007</v>
      </c>
    </row>
    <row r="34" spans="2:12" ht="15.75" x14ac:dyDescent="0.25">
      <c r="B34" s="38" t="s">
        <v>30</v>
      </c>
    </row>
    <row r="35" spans="2:12" x14ac:dyDescent="0.2">
      <c r="B35" s="3" t="s">
        <v>120</v>
      </c>
      <c r="C35" s="54">
        <f>ABS(C11/C7)</f>
        <v>0.55738255033557049</v>
      </c>
      <c r="D35" s="54">
        <f t="shared" ref="D35:L35" si="18">ABS(D11/D7)</f>
        <v>0.69042094796155129</v>
      </c>
      <c r="E35" s="54">
        <f t="shared" si="18"/>
        <v>0.57146776406035671</v>
      </c>
      <c r="F35" s="54">
        <f t="shared" si="18"/>
        <v>0.57921335970116461</v>
      </c>
      <c r="G35" s="54">
        <f t="shared" si="18"/>
        <v>0.58142589118198873</v>
      </c>
      <c r="H35" s="54">
        <f t="shared" si="18"/>
        <v>0.66462543376199235</v>
      </c>
      <c r="I35" s="54">
        <f t="shared" si="18"/>
        <v>0.64518776934126809</v>
      </c>
      <c r="J35" s="54">
        <f t="shared" si="18"/>
        <v>0.61601884570082455</v>
      </c>
      <c r="K35" s="54">
        <f t="shared" si="18"/>
        <v>0.62788348206768818</v>
      </c>
      <c r="L35" s="54">
        <f t="shared" si="18"/>
        <v>0.62903225806451624</v>
      </c>
    </row>
    <row r="36" spans="2:12" x14ac:dyDescent="0.2">
      <c r="B36" s="3" t="s">
        <v>153</v>
      </c>
      <c r="C36" s="3">
        <f>C11+C15</f>
        <v>-225.3</v>
      </c>
      <c r="D36" s="3">
        <f t="shared" ref="D36:L36" si="19">D11+D15</f>
        <v>-272.8</v>
      </c>
      <c r="E36" s="3">
        <f t="shared" si="19"/>
        <v>-266.7</v>
      </c>
      <c r="F36" s="3">
        <f t="shared" si="19"/>
        <v>-340.70000000000005</v>
      </c>
      <c r="G36" s="3">
        <f t="shared" si="19"/>
        <v>-421.7</v>
      </c>
      <c r="H36" s="3">
        <f t="shared" si="19"/>
        <v>-431.6</v>
      </c>
      <c r="I36" s="3">
        <f t="shared" si="19"/>
        <v>-422.2</v>
      </c>
      <c r="J36" s="3">
        <f t="shared" si="19"/>
        <v>-468.8</v>
      </c>
      <c r="K36" s="3">
        <f t="shared" si="19"/>
        <v>-480.4</v>
      </c>
      <c r="L36" s="3">
        <f t="shared" si="19"/>
        <v>-500.6</v>
      </c>
    </row>
    <row r="37" spans="2:12" x14ac:dyDescent="0.2">
      <c r="B37" s="3" t="s">
        <v>154</v>
      </c>
      <c r="C37" s="54">
        <f>ABS(C36/C7)</f>
        <v>0.75604026845637584</v>
      </c>
      <c r="D37" s="54">
        <f t="shared" ref="D37:L37" si="20">ABS(D36/D7)</f>
        <v>0.90420947961551212</v>
      </c>
      <c r="E37" s="54">
        <f t="shared" si="20"/>
        <v>0.73168724279835384</v>
      </c>
      <c r="F37" s="54">
        <f t="shared" si="20"/>
        <v>0.74862667545594386</v>
      </c>
      <c r="G37" s="54">
        <f t="shared" si="20"/>
        <v>0.7911819887429643</v>
      </c>
      <c r="H37" s="54">
        <f t="shared" si="20"/>
        <v>0.8809961216574812</v>
      </c>
      <c r="I37" s="54">
        <f t="shared" si="20"/>
        <v>0.86640673096655019</v>
      </c>
      <c r="J37" s="54">
        <f t="shared" si="20"/>
        <v>0.78882719165404691</v>
      </c>
      <c r="K37" s="54">
        <f t="shared" si="20"/>
        <v>0.80889038558679915</v>
      </c>
      <c r="L37" s="54">
        <f t="shared" si="20"/>
        <v>0.81557510589768667</v>
      </c>
    </row>
    <row r="38" spans="2:12" x14ac:dyDescent="0.2">
      <c r="B38" s="5" t="s">
        <v>265</v>
      </c>
      <c r="C38" s="69">
        <f>C36/(C7+C23)</f>
        <v>-0.63969335604770017</v>
      </c>
      <c r="D38" s="69">
        <f t="shared" ref="D38:L38" si="21">D36/(D7+D23)</f>
        <v>-0.79348458406050026</v>
      </c>
      <c r="E38" s="69">
        <f t="shared" si="21"/>
        <v>-0.66211519364448856</v>
      </c>
      <c r="F38" s="69">
        <f t="shared" si="21"/>
        <v>-0.58842832469775486</v>
      </c>
      <c r="G38" s="69">
        <f t="shared" si="21"/>
        <v>-0.72933241093047385</v>
      </c>
      <c r="H38" s="69">
        <f t="shared" si="21"/>
        <v>-0.83513931888544901</v>
      </c>
      <c r="I38" s="69">
        <f>I36/(I7+I23)</f>
        <v>-0.80174705658944168</v>
      </c>
      <c r="J38" s="69">
        <f t="shared" si="21"/>
        <v>-0.7532133676092545</v>
      </c>
      <c r="K38" s="69">
        <f t="shared" si="21"/>
        <v>-0.76533375816472837</v>
      </c>
      <c r="L38" s="69">
        <f t="shared" si="21"/>
        <v>-0.78735451399811274</v>
      </c>
    </row>
    <row r="39" spans="2:12" x14ac:dyDescent="0.2">
      <c r="B39" s="3" t="s">
        <v>49</v>
      </c>
      <c r="C39" s="54">
        <f>ABS(C12/C7)</f>
        <v>0.19765100671140939</v>
      </c>
      <c r="D39" s="54">
        <f t="shared" ref="D39:L39" si="22">ABS(D12/D7)</f>
        <v>0.19290686112031821</v>
      </c>
      <c r="E39" s="54">
        <f t="shared" si="22"/>
        <v>0.22688614540466392</v>
      </c>
      <c r="F39" s="54">
        <f t="shared" si="22"/>
        <v>0.21270050538343219</v>
      </c>
      <c r="G39" s="54">
        <f t="shared" si="22"/>
        <v>0.18705440900562853</v>
      </c>
      <c r="H39" s="54">
        <f t="shared" si="22"/>
        <v>0.2502551541130843</v>
      </c>
      <c r="I39" s="54">
        <f t="shared" si="22"/>
        <v>0.19659347424584442</v>
      </c>
      <c r="J39" s="54">
        <f t="shared" si="22"/>
        <v>0.22177351505973417</v>
      </c>
      <c r="K39" s="54">
        <f t="shared" si="22"/>
        <v>0.23101532244485604</v>
      </c>
      <c r="L39" s="54">
        <f t="shared" si="22"/>
        <v>0.27223851417399808</v>
      </c>
    </row>
    <row r="40" spans="2:12" x14ac:dyDescent="0.2">
      <c r="B40" s="8" t="s">
        <v>121</v>
      </c>
      <c r="C40" s="55">
        <f t="shared" ref="C40:F40" si="23">C14/C7</f>
        <v>0.24496644295302014</v>
      </c>
      <c r="D40" s="55">
        <f t="shared" si="23"/>
        <v>0.11667219091813057</v>
      </c>
      <c r="E40" s="55">
        <f t="shared" si="23"/>
        <v>0.20164609053497942</v>
      </c>
      <c r="F40" s="55">
        <f t="shared" si="23"/>
        <v>0.20808613491540318</v>
      </c>
      <c r="G40" s="55">
        <f>G14/G7</f>
        <v>0.2315196998123828</v>
      </c>
      <c r="H40" s="55">
        <f t="shared" ref="H40:L40" si="24">H14/H7</f>
        <v>8.5119412124923313E-2</v>
      </c>
      <c r="I40" s="55">
        <f t="shared" si="24"/>
        <v>0.15821875641288749</v>
      </c>
      <c r="J40" s="55">
        <f t="shared" si="24"/>
        <v>0.16220763923944123</v>
      </c>
      <c r="K40" s="55">
        <f t="shared" si="24"/>
        <v>0.14110119548745584</v>
      </c>
      <c r="L40" s="55">
        <f t="shared" si="24"/>
        <v>9.8729227761485683E-2</v>
      </c>
    </row>
    <row r="44" spans="2:12" ht="15.75" x14ac:dyDescent="0.25">
      <c r="B44" s="38" t="s">
        <v>205</v>
      </c>
    </row>
    <row r="45" spans="2:12" x14ac:dyDescent="0.2">
      <c r="B45" s="18" t="s">
        <v>55</v>
      </c>
      <c r="C45" s="18" t="s">
        <v>223</v>
      </c>
      <c r="D45" s="18" t="s">
        <v>224</v>
      </c>
      <c r="E45" s="18" t="s">
        <v>229</v>
      </c>
      <c r="F45" s="18" t="s">
        <v>230</v>
      </c>
      <c r="G45" s="18" t="s">
        <v>225</v>
      </c>
      <c r="H45" s="18" t="s">
        <v>355</v>
      </c>
    </row>
    <row r="46" spans="2:12" x14ac:dyDescent="0.2">
      <c r="B46" s="4" t="s">
        <v>47</v>
      </c>
      <c r="C46" s="4" t="s">
        <v>226</v>
      </c>
      <c r="D46" s="4" t="s">
        <v>227</v>
      </c>
      <c r="G46" s="4" t="s">
        <v>408</v>
      </c>
      <c r="H46" s="4" t="s">
        <v>409</v>
      </c>
    </row>
    <row r="47" spans="2:12" x14ac:dyDescent="0.2">
      <c r="B47" s="4" t="s">
        <v>2</v>
      </c>
      <c r="C47" s="4" t="s">
        <v>2</v>
      </c>
      <c r="D47" s="4" t="s">
        <v>227</v>
      </c>
      <c r="G47" s="4" t="s">
        <v>410</v>
      </c>
      <c r="H47" s="4" t="s">
        <v>411</v>
      </c>
    </row>
    <row r="48" spans="2:12" x14ac:dyDescent="0.2">
      <c r="B48" s="4" t="s">
        <v>3</v>
      </c>
      <c r="C48" s="4" t="s">
        <v>431</v>
      </c>
      <c r="D48" s="4" t="s">
        <v>227</v>
      </c>
      <c r="G48" s="4" t="s">
        <v>412</v>
      </c>
      <c r="H48" s="4" t="s">
        <v>413</v>
      </c>
    </row>
    <row r="49" spans="2:11" x14ac:dyDescent="0.2">
      <c r="B49" s="4" t="s">
        <v>4</v>
      </c>
      <c r="C49" s="4" t="s">
        <v>4</v>
      </c>
      <c r="D49" s="4" t="s">
        <v>432</v>
      </c>
      <c r="E49" s="4" t="s">
        <v>227</v>
      </c>
      <c r="G49" s="4" t="s">
        <v>414</v>
      </c>
      <c r="H49" s="4" t="s">
        <v>415</v>
      </c>
      <c r="K49" s="17" t="s">
        <v>243</v>
      </c>
    </row>
    <row r="50" spans="2:11" x14ac:dyDescent="0.2">
      <c r="B50" s="4" t="s">
        <v>228</v>
      </c>
      <c r="C50" s="4" t="s">
        <v>430</v>
      </c>
      <c r="D50" s="4" t="s">
        <v>227</v>
      </c>
      <c r="G50" s="4" t="s">
        <v>416</v>
      </c>
      <c r="H50" s="4" t="s">
        <v>417</v>
      </c>
    </row>
    <row r="51" spans="2:11" x14ac:dyDescent="0.2">
      <c r="B51" s="4" t="s">
        <v>237</v>
      </c>
      <c r="C51" s="4" t="s">
        <v>238</v>
      </c>
      <c r="D51" s="4" t="s">
        <v>227</v>
      </c>
      <c r="G51" s="4" t="s">
        <v>418</v>
      </c>
      <c r="H51" s="4" t="s">
        <v>419</v>
      </c>
    </row>
    <row r="52" spans="2:11" x14ac:dyDescent="0.2">
      <c r="B52" s="4" t="s">
        <v>8</v>
      </c>
      <c r="C52" s="4" t="s">
        <v>8</v>
      </c>
      <c r="D52" s="4" t="s">
        <v>227</v>
      </c>
      <c r="G52" s="4" t="s">
        <v>420</v>
      </c>
      <c r="H52" s="4" t="s">
        <v>421</v>
      </c>
    </row>
    <row r="53" spans="2:11" x14ac:dyDescent="0.2">
      <c r="B53" s="4" t="s">
        <v>262</v>
      </c>
      <c r="C53" s="4" t="s">
        <v>429</v>
      </c>
      <c r="D53" s="4" t="s">
        <v>0</v>
      </c>
      <c r="G53" s="4" t="s">
        <v>423</v>
      </c>
      <c r="H53" s="4" t="s">
        <v>422</v>
      </c>
    </row>
    <row r="54" spans="2:11" x14ac:dyDescent="0.2">
      <c r="B54" s="4" t="s">
        <v>263</v>
      </c>
      <c r="C54" s="4" t="s">
        <v>264</v>
      </c>
      <c r="D54" s="4" t="s">
        <v>428</v>
      </c>
      <c r="E54" s="4" t="s">
        <v>227</v>
      </c>
      <c r="G54" s="4" t="s">
        <v>424</v>
      </c>
      <c r="H54" s="4" t="s">
        <v>425</v>
      </c>
    </row>
    <row r="55" spans="2:11" x14ac:dyDescent="0.2">
      <c r="B55" s="4" t="s">
        <v>23</v>
      </c>
      <c r="C55" s="4" t="s">
        <v>266</v>
      </c>
      <c r="D55" s="4" t="s">
        <v>267</v>
      </c>
      <c r="E55" s="4" t="s">
        <v>23</v>
      </c>
      <c r="F55" s="4" t="s">
        <v>106</v>
      </c>
      <c r="G55" s="4" t="s">
        <v>427</v>
      </c>
      <c r="H55" s="4" t="s">
        <v>426</v>
      </c>
    </row>
  </sheetData>
  <pageMargins left="0.7" right="0.7" top="0.75" bottom="0.75" header="0.3" footer="0.3"/>
  <ignoredErrors>
    <ignoredError sqref="F7:L7" formulaRange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A825806-9917-4EA4-B920-C7FC3D58539B}">
            <xm:f>NOT(ISERROR(SEARCH("-",C27)))</xm:f>
            <xm:f>"-"</xm:f>
            <x14:dxf>
              <font>
                <color rgb="FFFF0000"/>
              </font>
            </x14:dxf>
          </x14:cfRule>
          <xm:sqref>C27</xm:sqref>
        </x14:conditionalFormatting>
        <x14:conditionalFormatting xmlns:xm="http://schemas.microsoft.com/office/excel/2006/main">
          <x14:cfRule type="containsText" priority="2" operator="containsText" id="{5EE07ADC-E3C3-4323-A921-CAC82F6A3D9E}">
            <xm:f>NOT(ISERROR(SEARCH("-",C11)))</xm:f>
            <xm:f>"-"</xm:f>
            <x14:dxf>
              <font>
                <color rgb="FFFF0000"/>
              </font>
            </x14:dxf>
          </x14:cfRule>
          <xm:sqref>C11:L17</xm:sqref>
        </x14:conditionalFormatting>
        <x14:conditionalFormatting xmlns:xm="http://schemas.microsoft.com/office/excel/2006/main">
          <x14:cfRule type="containsText" priority="6" operator="containsText" id="{11FC11DC-7A0B-48CD-BF0E-643000768E33}">
            <xm:f>NOT(ISERROR(SEARCH("-",C4)))</xm:f>
            <xm:f>"-"</xm:f>
            <x14:dxf>
              <font>
                <color rgb="FFFF0000"/>
              </font>
            </x14:dxf>
          </x14:cfRule>
          <xm:sqref>D4:D6 F4:L6 C7:L7 G18 K18 C19:L21 D22:L22 D23:D24 F23:L24 C25:L25 D26:L27 C28:L31</xm:sqref>
        </x14:conditionalFormatting>
        <x14:conditionalFormatting xmlns:xm="http://schemas.microsoft.com/office/excel/2006/main">
          <x14:cfRule type="containsText" priority="5" operator="containsText" id="{91BEE0C1-61A7-470D-81FE-D0883B8B9292}">
            <xm:f>NOT(ISERROR(SEARCH("-",K10)))</xm:f>
            <xm:f>"-"</xm:f>
            <x14:dxf>
              <font>
                <color rgb="FFFF0000"/>
              </font>
            </x14:dxf>
          </x14:cfRule>
          <xm:sqref>K10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7CAF-15AF-486E-8F78-13C066CB6697}">
  <dimension ref="B2:Q46"/>
  <sheetViews>
    <sheetView workbookViewId="0">
      <selection activeCell="Q13" sqref="Q13"/>
    </sheetView>
  </sheetViews>
  <sheetFormatPr defaultRowHeight="15" x14ac:dyDescent="0.25"/>
  <cols>
    <col min="2" max="2" width="24.42578125" bestFit="1" customWidth="1"/>
    <col min="17" max="17" width="33.140625" bestFit="1" customWidth="1"/>
  </cols>
  <sheetData>
    <row r="2" spans="2:17" ht="18" x14ac:dyDescent="0.25">
      <c r="B2" s="6" t="s">
        <v>124</v>
      </c>
    </row>
    <row r="3" spans="2:17" x14ac:dyDescent="0.25">
      <c r="B3" s="5" t="s">
        <v>33</v>
      </c>
      <c r="C3" s="8">
        <v>2015</v>
      </c>
      <c r="D3" s="8">
        <v>2016</v>
      </c>
      <c r="E3" s="8">
        <v>2017</v>
      </c>
      <c r="F3" s="8">
        <v>2018</v>
      </c>
      <c r="G3" s="8">
        <v>2019</v>
      </c>
      <c r="H3" s="8">
        <v>2020</v>
      </c>
      <c r="I3" s="8">
        <v>2021</v>
      </c>
      <c r="J3" s="8">
        <v>2022</v>
      </c>
      <c r="K3" s="8">
        <v>2023</v>
      </c>
      <c r="L3" s="8">
        <v>2024</v>
      </c>
      <c r="Q3" s="42" t="s">
        <v>151</v>
      </c>
    </row>
    <row r="4" spans="2:17" x14ac:dyDescent="0.25">
      <c r="B4" s="33" t="s">
        <v>95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7" x14ac:dyDescent="0.25">
      <c r="B5" s="3" t="s">
        <v>125</v>
      </c>
      <c r="C5" s="3">
        <v>135</v>
      </c>
      <c r="D5" s="3">
        <v>101.8</v>
      </c>
      <c r="E5" s="3">
        <v>76.3</v>
      </c>
      <c r="F5" s="3">
        <v>195.2</v>
      </c>
      <c r="G5" s="3">
        <v>223</v>
      </c>
      <c r="H5" s="3">
        <v>29.3</v>
      </c>
      <c r="I5" s="3">
        <v>136.1</v>
      </c>
      <c r="J5" s="3">
        <v>68.7</v>
      </c>
      <c r="K5" s="3">
        <v>133.5</v>
      </c>
      <c r="L5" s="3">
        <v>194.4</v>
      </c>
      <c r="Q5" s="34" t="s">
        <v>268</v>
      </c>
    </row>
    <row r="6" spans="2:17" x14ac:dyDescent="0.25">
      <c r="B6" s="3" t="s">
        <v>126</v>
      </c>
      <c r="C6" s="3">
        <v>75.2</v>
      </c>
      <c r="D6" s="3">
        <v>49.3</v>
      </c>
      <c r="E6" s="3">
        <v>72.599999999999994</v>
      </c>
      <c r="F6" s="3">
        <v>137.1</v>
      </c>
      <c r="G6" s="3">
        <v>59.7</v>
      </c>
      <c r="H6" s="3">
        <v>29.4</v>
      </c>
      <c r="I6" s="3">
        <v>42.9</v>
      </c>
      <c r="J6" s="3">
        <v>32.6</v>
      </c>
      <c r="K6" s="3">
        <v>44.1</v>
      </c>
      <c r="L6" s="3">
        <v>36.799999999999997</v>
      </c>
    </row>
    <row r="7" spans="2:17" x14ac:dyDescent="0.25">
      <c r="B7" s="43" t="s">
        <v>127</v>
      </c>
      <c r="C7" s="44">
        <f>C5-C6</f>
        <v>59.8</v>
      </c>
      <c r="D7" s="44">
        <f t="shared" ref="D7:L7" si="0">D5-D6</f>
        <v>52.5</v>
      </c>
      <c r="E7" s="44">
        <f t="shared" si="0"/>
        <v>3.7000000000000028</v>
      </c>
      <c r="F7" s="44">
        <f t="shared" si="0"/>
        <v>58.099999999999994</v>
      </c>
      <c r="G7" s="44">
        <f t="shared" si="0"/>
        <v>163.30000000000001</v>
      </c>
      <c r="H7" s="44">
        <f t="shared" si="0"/>
        <v>-9.9999999999997868E-2</v>
      </c>
      <c r="I7" s="44">
        <f t="shared" si="0"/>
        <v>93.199999999999989</v>
      </c>
      <c r="J7" s="44">
        <f t="shared" si="0"/>
        <v>36.1</v>
      </c>
      <c r="K7" s="44">
        <f t="shared" si="0"/>
        <v>89.4</v>
      </c>
      <c r="L7" s="44">
        <f t="shared" si="0"/>
        <v>157.60000000000002</v>
      </c>
    </row>
    <row r="8" spans="2:17" x14ac:dyDescent="0.25">
      <c r="B8" s="45" t="s">
        <v>14</v>
      </c>
      <c r="C8" s="46">
        <v>316.39999999999998</v>
      </c>
      <c r="D8" s="46">
        <v>360.1</v>
      </c>
      <c r="E8" s="46">
        <v>332.5</v>
      </c>
      <c r="F8" s="46">
        <v>485</v>
      </c>
      <c r="G8" s="46">
        <v>646.5</v>
      </c>
      <c r="H8" s="46">
        <v>634.1</v>
      </c>
      <c r="I8" s="46">
        <v>708.9</v>
      </c>
      <c r="J8" s="46">
        <v>729.3</v>
      </c>
      <c r="K8" s="46">
        <v>787.1</v>
      </c>
      <c r="L8" s="46">
        <v>749.4</v>
      </c>
      <c r="P8" s="32" t="s">
        <v>359</v>
      </c>
    </row>
    <row r="9" spans="2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P9" t="s">
        <v>360</v>
      </c>
      <c r="Q9">
        <v>721</v>
      </c>
    </row>
    <row r="10" spans="2:17" x14ac:dyDescent="0.25">
      <c r="B10" s="33" t="s">
        <v>138</v>
      </c>
      <c r="C10" s="3"/>
      <c r="D10" s="3"/>
      <c r="E10" s="3"/>
      <c r="F10" s="3"/>
      <c r="G10" s="3"/>
      <c r="H10" s="3"/>
      <c r="I10" s="3"/>
      <c r="J10" s="3"/>
      <c r="K10" s="3"/>
      <c r="L10" s="3"/>
      <c r="P10" t="s">
        <v>361</v>
      </c>
      <c r="Q10">
        <v>526</v>
      </c>
    </row>
    <row r="11" spans="2:17" x14ac:dyDescent="0.25">
      <c r="B11" s="3" t="s">
        <v>128</v>
      </c>
      <c r="C11" s="3">
        <v>49.4</v>
      </c>
      <c r="D11" s="3">
        <v>110</v>
      </c>
      <c r="E11" s="3">
        <v>109.9</v>
      </c>
      <c r="F11" s="3">
        <v>99.9</v>
      </c>
      <c r="G11" s="3">
        <v>79.3</v>
      </c>
      <c r="H11" s="3">
        <v>71.400000000000006</v>
      </c>
      <c r="I11" s="3">
        <v>71.400000000000006</v>
      </c>
      <c r="J11" s="3">
        <v>71.400000000000006</v>
      </c>
      <c r="K11" s="3">
        <v>71.400000000000006</v>
      </c>
      <c r="L11" s="3">
        <v>198.7</v>
      </c>
      <c r="P11" s="31" t="s">
        <v>359</v>
      </c>
      <c r="Q11">
        <f>Q9-Q10</f>
        <v>195</v>
      </c>
    </row>
    <row r="12" spans="2:17" x14ac:dyDescent="0.25">
      <c r="B12" s="3" t="s">
        <v>137</v>
      </c>
      <c r="C12" s="3">
        <v>49.5</v>
      </c>
      <c r="D12" s="3">
        <v>53.3</v>
      </c>
      <c r="E12" s="3">
        <v>71.7</v>
      </c>
      <c r="F12" s="3">
        <v>55.1</v>
      </c>
      <c r="G12" s="3">
        <v>49.5</v>
      </c>
      <c r="H12" s="3">
        <v>197</v>
      </c>
      <c r="I12" s="3">
        <v>126.9</v>
      </c>
      <c r="J12" s="3">
        <v>87.1</v>
      </c>
      <c r="K12" s="3">
        <v>125.4</v>
      </c>
      <c r="L12" s="3">
        <v>115.6</v>
      </c>
    </row>
    <row r="13" spans="2:17" x14ac:dyDescent="0.25">
      <c r="B13" s="8" t="s">
        <v>129</v>
      </c>
      <c r="C13" s="47">
        <f t="shared" ref="C13:D13" si="1">C11+C12</f>
        <v>98.9</v>
      </c>
      <c r="D13" s="47">
        <f t="shared" si="1"/>
        <v>163.30000000000001</v>
      </c>
      <c r="E13" s="47">
        <f>E11+E12</f>
        <v>181.60000000000002</v>
      </c>
      <c r="F13" s="47">
        <f t="shared" ref="F13:J13" si="2">F11+F12</f>
        <v>155</v>
      </c>
      <c r="G13" s="47">
        <f t="shared" si="2"/>
        <v>128.80000000000001</v>
      </c>
      <c r="H13" s="47">
        <f t="shared" si="2"/>
        <v>268.39999999999998</v>
      </c>
      <c r="I13" s="47">
        <f t="shared" si="2"/>
        <v>198.3</v>
      </c>
      <c r="J13" s="47">
        <f t="shared" si="2"/>
        <v>158.5</v>
      </c>
      <c r="K13" s="47">
        <f>K11+K12</f>
        <v>196.8</v>
      </c>
      <c r="L13" s="47">
        <f>L11+L12</f>
        <v>314.29999999999995</v>
      </c>
    </row>
    <row r="14" spans="2:17" x14ac:dyDescent="0.25">
      <c r="B14" s="3" t="s">
        <v>130</v>
      </c>
      <c r="C14" s="3">
        <v>4.0999999999999996</v>
      </c>
      <c r="D14" s="3">
        <v>8.1999999999999993</v>
      </c>
      <c r="E14" s="3">
        <v>4</v>
      </c>
      <c r="F14" s="3">
        <v>10.3</v>
      </c>
      <c r="G14" s="3">
        <v>37.5</v>
      </c>
      <c r="H14" s="3">
        <v>149.30000000000001</v>
      </c>
      <c r="I14" s="3">
        <v>31.5</v>
      </c>
      <c r="J14" s="3">
        <v>13.5</v>
      </c>
      <c r="K14" s="3">
        <v>3.4</v>
      </c>
      <c r="L14" s="3">
        <v>7.5</v>
      </c>
    </row>
    <row r="15" spans="2:17" x14ac:dyDescent="0.25">
      <c r="B15" s="48" t="s">
        <v>131</v>
      </c>
      <c r="C15" s="49">
        <f t="shared" ref="C15:D15" si="3">C13-C14</f>
        <v>94.800000000000011</v>
      </c>
      <c r="D15" s="49">
        <f t="shared" si="3"/>
        <v>155.10000000000002</v>
      </c>
      <c r="E15" s="49">
        <f>E13-E14</f>
        <v>177.60000000000002</v>
      </c>
      <c r="F15" s="49">
        <f t="shared" ref="F15:J15" si="4">F13-F14</f>
        <v>144.69999999999999</v>
      </c>
      <c r="G15" s="49">
        <f t="shared" si="4"/>
        <v>91.300000000000011</v>
      </c>
      <c r="H15" s="49">
        <f t="shared" si="4"/>
        <v>119.09999999999997</v>
      </c>
      <c r="I15" s="49">
        <f t="shared" si="4"/>
        <v>166.8</v>
      </c>
      <c r="J15" s="49">
        <f t="shared" si="4"/>
        <v>145</v>
      </c>
      <c r="K15" s="49">
        <f>K13-K14</f>
        <v>193.4</v>
      </c>
      <c r="L15" s="49">
        <f>L13-L14</f>
        <v>306.79999999999995</v>
      </c>
    </row>
    <row r="16" spans="2:17" x14ac:dyDescent="0.25">
      <c r="B16" s="8" t="s">
        <v>19</v>
      </c>
      <c r="C16" s="3">
        <v>78.8</v>
      </c>
      <c r="D16" s="3">
        <v>88.6</v>
      </c>
      <c r="E16" s="3">
        <v>71.3</v>
      </c>
      <c r="F16" s="3">
        <v>141.4</v>
      </c>
      <c r="G16" s="3">
        <v>171.9</v>
      </c>
      <c r="H16" s="3">
        <v>77.7</v>
      </c>
      <c r="I16" s="3">
        <v>121.9</v>
      </c>
      <c r="J16" s="3">
        <v>93.7</v>
      </c>
      <c r="K16" s="3">
        <v>112.4</v>
      </c>
      <c r="L16" s="3">
        <v>127.8</v>
      </c>
    </row>
    <row r="17" spans="2:12" x14ac:dyDescent="0.25">
      <c r="B17" s="3" t="s">
        <v>17</v>
      </c>
      <c r="C17" s="3">
        <v>76.2</v>
      </c>
      <c r="D17" s="8">
        <v>51.2</v>
      </c>
      <c r="E17" s="8">
        <v>66.2</v>
      </c>
      <c r="F17" s="8">
        <v>111.7</v>
      </c>
      <c r="G17" s="8">
        <v>54.2</v>
      </c>
      <c r="H17" s="8">
        <v>46.5</v>
      </c>
      <c r="I17" s="8">
        <v>54.5</v>
      </c>
      <c r="J17" s="8">
        <v>55.1</v>
      </c>
      <c r="K17" s="3">
        <v>66.599999999999994</v>
      </c>
      <c r="L17" s="8">
        <v>57.9</v>
      </c>
    </row>
    <row r="18" spans="2:12" x14ac:dyDescent="0.25">
      <c r="B18" s="3" t="s">
        <v>142</v>
      </c>
      <c r="C18" s="50">
        <f>C16-C17</f>
        <v>2.5999999999999943</v>
      </c>
      <c r="D18" s="50">
        <f t="shared" ref="D18:L18" si="5">D16-D17</f>
        <v>37.399999999999991</v>
      </c>
      <c r="E18" s="50">
        <f t="shared" si="5"/>
        <v>5.0999999999999943</v>
      </c>
      <c r="F18" s="50">
        <f t="shared" si="5"/>
        <v>29.700000000000003</v>
      </c>
      <c r="G18" s="50">
        <f t="shared" si="5"/>
        <v>117.7</v>
      </c>
      <c r="H18" s="50">
        <f t="shared" si="5"/>
        <v>31.200000000000003</v>
      </c>
      <c r="I18" s="50">
        <f t="shared" si="5"/>
        <v>67.400000000000006</v>
      </c>
      <c r="J18" s="50">
        <f t="shared" si="5"/>
        <v>38.6</v>
      </c>
      <c r="K18" s="50">
        <f t="shared" si="5"/>
        <v>45.800000000000011</v>
      </c>
      <c r="L18" s="50">
        <f t="shared" si="5"/>
        <v>69.900000000000006</v>
      </c>
    </row>
    <row r="19" spans="2:12" x14ac:dyDescent="0.25">
      <c r="B19" s="8" t="s">
        <v>132</v>
      </c>
      <c r="C19" s="47">
        <f t="shared" ref="C19:D19" si="6">C16+C13</f>
        <v>177.7</v>
      </c>
      <c r="D19" s="47">
        <f t="shared" si="6"/>
        <v>251.9</v>
      </c>
      <c r="E19" s="47">
        <f>E16+E13</f>
        <v>252.90000000000003</v>
      </c>
      <c r="F19" s="47">
        <f t="shared" ref="F19:J19" si="7">F16+F13</f>
        <v>296.39999999999998</v>
      </c>
      <c r="G19" s="47">
        <f t="shared" si="7"/>
        <v>300.70000000000005</v>
      </c>
      <c r="H19" s="47">
        <f t="shared" si="7"/>
        <v>346.09999999999997</v>
      </c>
      <c r="I19" s="47">
        <f t="shared" si="7"/>
        <v>320.20000000000005</v>
      </c>
      <c r="J19" s="47">
        <f t="shared" si="7"/>
        <v>252.2</v>
      </c>
      <c r="K19" s="47">
        <f>K16+K13</f>
        <v>309.20000000000005</v>
      </c>
      <c r="L19" s="47">
        <f>L16+L13</f>
        <v>442.09999999999997</v>
      </c>
    </row>
    <row r="20" spans="2:12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x14ac:dyDescent="0.25">
      <c r="B21" s="3" t="s">
        <v>15</v>
      </c>
      <c r="C21" s="3">
        <f t="shared" ref="C21:D21" si="8">C15</f>
        <v>94.800000000000011</v>
      </c>
      <c r="D21" s="3">
        <f t="shared" si="8"/>
        <v>155.10000000000002</v>
      </c>
      <c r="E21" s="3">
        <f>E15</f>
        <v>177.60000000000002</v>
      </c>
      <c r="F21" s="3">
        <f t="shared" ref="F21:J21" si="9">F15</f>
        <v>144.69999999999999</v>
      </c>
      <c r="G21" s="3">
        <f t="shared" si="9"/>
        <v>91.300000000000011</v>
      </c>
      <c r="H21" s="3">
        <f t="shared" si="9"/>
        <v>119.09999999999997</v>
      </c>
      <c r="I21" s="3">
        <f t="shared" si="9"/>
        <v>166.8</v>
      </c>
      <c r="J21" s="3">
        <f t="shared" si="9"/>
        <v>145</v>
      </c>
      <c r="K21" s="3">
        <f>K15</f>
        <v>193.4</v>
      </c>
      <c r="L21" s="3">
        <f>L15</f>
        <v>306.79999999999995</v>
      </c>
    </row>
    <row r="22" spans="2:12" x14ac:dyDescent="0.25">
      <c r="B22" s="3" t="s">
        <v>18</v>
      </c>
      <c r="C22" s="3">
        <f t="shared" ref="C22:D22" si="10">C18</f>
        <v>2.5999999999999943</v>
      </c>
      <c r="D22" s="3">
        <f t="shared" si="10"/>
        <v>37.399999999999991</v>
      </c>
      <c r="E22" s="3">
        <f>E18</f>
        <v>5.0999999999999943</v>
      </c>
      <c r="F22" s="3">
        <f t="shared" ref="F22:J22" si="11">F18</f>
        <v>29.700000000000003</v>
      </c>
      <c r="G22" s="3">
        <f t="shared" si="11"/>
        <v>117.7</v>
      </c>
      <c r="H22" s="3">
        <f t="shared" si="11"/>
        <v>31.200000000000003</v>
      </c>
      <c r="I22" s="3">
        <f t="shared" si="11"/>
        <v>67.400000000000006</v>
      </c>
      <c r="J22" s="3">
        <f t="shared" si="11"/>
        <v>38.6</v>
      </c>
      <c r="K22" s="3">
        <f>K18</f>
        <v>45.800000000000011</v>
      </c>
      <c r="L22" s="3">
        <f>L18</f>
        <v>69.900000000000006</v>
      </c>
    </row>
    <row r="23" spans="2:12" x14ac:dyDescent="0.25">
      <c r="B23" s="51" t="s">
        <v>26</v>
      </c>
      <c r="C23" s="52">
        <f t="shared" ref="C23" si="12">C21+C22</f>
        <v>97.4</v>
      </c>
      <c r="D23" s="52">
        <f>D21+D22</f>
        <v>192.5</v>
      </c>
      <c r="E23" s="52">
        <f>E21+E22</f>
        <v>182.70000000000002</v>
      </c>
      <c r="F23" s="52">
        <f t="shared" ref="F23:J23" si="13">F21+F22</f>
        <v>174.39999999999998</v>
      </c>
      <c r="G23" s="52">
        <f t="shared" si="13"/>
        <v>209</v>
      </c>
      <c r="H23" s="52">
        <f t="shared" si="13"/>
        <v>150.29999999999995</v>
      </c>
      <c r="I23" s="52">
        <f t="shared" si="13"/>
        <v>234.20000000000002</v>
      </c>
      <c r="J23" s="52">
        <f t="shared" si="13"/>
        <v>183.6</v>
      </c>
      <c r="K23" s="52">
        <f>K21+K22</f>
        <v>239.20000000000002</v>
      </c>
      <c r="L23" s="52">
        <f>L21+L22</f>
        <v>376.69999999999993</v>
      </c>
    </row>
    <row r="24" spans="2:12" x14ac:dyDescent="0.25">
      <c r="B24" s="5" t="s">
        <v>139</v>
      </c>
      <c r="C24" s="3">
        <f t="shared" ref="C24:L24" si="14">C23-C11</f>
        <v>48.000000000000007</v>
      </c>
      <c r="D24" s="3">
        <f t="shared" si="14"/>
        <v>82.5</v>
      </c>
      <c r="E24" s="3">
        <f t="shared" si="14"/>
        <v>72.800000000000011</v>
      </c>
      <c r="F24" s="3">
        <f t="shared" si="14"/>
        <v>74.499999999999972</v>
      </c>
      <c r="G24" s="3">
        <f t="shared" si="14"/>
        <v>129.69999999999999</v>
      </c>
      <c r="H24" s="3">
        <f t="shared" si="14"/>
        <v>78.899999999999949</v>
      </c>
      <c r="I24" s="3">
        <f t="shared" si="14"/>
        <v>162.80000000000001</v>
      </c>
      <c r="J24" s="3">
        <f t="shared" si="14"/>
        <v>112.19999999999999</v>
      </c>
      <c r="K24" s="3">
        <f t="shared" si="14"/>
        <v>167.8</v>
      </c>
      <c r="L24" s="3">
        <f t="shared" si="14"/>
        <v>177.99999999999994</v>
      </c>
    </row>
    <row r="25" spans="2:1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x14ac:dyDescent="0.25">
      <c r="B26" s="33" t="s">
        <v>133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x14ac:dyDescent="0.25">
      <c r="B27" s="3" t="s">
        <v>136</v>
      </c>
      <c r="C27" s="3">
        <v>12.7</v>
      </c>
      <c r="D27" s="3">
        <v>17.100000000000001</v>
      </c>
      <c r="E27" s="3">
        <v>18.5</v>
      </c>
      <c r="F27" s="3">
        <v>38.200000000000003</v>
      </c>
      <c r="G27" s="3">
        <v>22.1</v>
      </c>
      <c r="H27" s="3">
        <v>10.8</v>
      </c>
      <c r="I27" s="3">
        <v>23.8</v>
      </c>
      <c r="J27" s="3">
        <v>33.700000000000003</v>
      </c>
      <c r="K27" s="3">
        <v>55.9</v>
      </c>
      <c r="L27" s="3">
        <v>41.6</v>
      </c>
    </row>
    <row r="28" spans="2:12" x14ac:dyDescent="0.25">
      <c r="B28" s="3" t="s">
        <v>134</v>
      </c>
      <c r="C28" s="3">
        <v>4.0999999999999996</v>
      </c>
      <c r="D28" s="3">
        <v>8.1999999999999993</v>
      </c>
      <c r="E28" s="3">
        <v>19.2</v>
      </c>
      <c r="F28" s="3">
        <v>35.700000000000003</v>
      </c>
      <c r="G28" s="3">
        <v>11.2</v>
      </c>
      <c r="H28" s="3">
        <v>9.6</v>
      </c>
      <c r="I28" s="3">
        <v>7.3</v>
      </c>
      <c r="J28" s="3">
        <v>3.5</v>
      </c>
      <c r="K28" s="3">
        <v>12.7</v>
      </c>
      <c r="L28" s="3">
        <v>2.5</v>
      </c>
    </row>
    <row r="29" spans="2:12" x14ac:dyDescent="0.25">
      <c r="B29" s="8" t="s">
        <v>135</v>
      </c>
      <c r="C29" s="47">
        <f t="shared" ref="C29:K29" si="15">C27-C28</f>
        <v>8.6</v>
      </c>
      <c r="D29" s="47">
        <f t="shared" si="15"/>
        <v>8.9000000000000021</v>
      </c>
      <c r="E29" s="47">
        <f t="shared" si="15"/>
        <v>-0.69999999999999929</v>
      </c>
      <c r="F29" s="47">
        <f t="shared" si="15"/>
        <v>2.5</v>
      </c>
      <c r="G29" s="47">
        <f t="shared" si="15"/>
        <v>10.900000000000002</v>
      </c>
      <c r="H29" s="47">
        <f t="shared" si="15"/>
        <v>1.2000000000000011</v>
      </c>
      <c r="I29" s="47">
        <f t="shared" si="15"/>
        <v>16.5</v>
      </c>
      <c r="J29" s="47">
        <f t="shared" si="15"/>
        <v>30.200000000000003</v>
      </c>
      <c r="K29" s="47">
        <f t="shared" si="15"/>
        <v>43.2</v>
      </c>
      <c r="L29" s="47">
        <f>L27-L28</f>
        <v>39.1</v>
      </c>
    </row>
    <row r="30" spans="2:12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ht="15.75" x14ac:dyDescent="0.25">
      <c r="B31" s="38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s="3" t="s">
        <v>274</v>
      </c>
      <c r="C32" s="88">
        <f>C15/'Income Statement'!C14</f>
        <v>1.2986301369863016</v>
      </c>
      <c r="D32" s="88">
        <f>D15/'Income Statement'!D14</f>
        <v>4.4062500000000018</v>
      </c>
      <c r="E32" s="88">
        <f>E15/'Income Statement'!E14</f>
        <v>2.416326530612245</v>
      </c>
      <c r="F32" s="88">
        <f>F15/'Income Statement'!F14</f>
        <v>1.5279831045406547</v>
      </c>
      <c r="G32" s="88">
        <f>G15/'Income Statement'!G14</f>
        <v>0.73987034035656396</v>
      </c>
      <c r="H32" s="88">
        <f>H15/'Income Statement'!H14</f>
        <v>2.8561151079136731</v>
      </c>
      <c r="I32" s="88">
        <f>I15/'Income Statement'!I14</f>
        <v>2.1634241245136168</v>
      </c>
      <c r="J32" s="88">
        <f>J15/'Income Statement'!J14</f>
        <v>1.5041493775933623</v>
      </c>
      <c r="K32" s="88">
        <f>K15/'Income Statement'!K14</f>
        <v>2.3078758949880664</v>
      </c>
      <c r="L32" s="88">
        <f>L15/'Income Statement'!L14</f>
        <v>5.0627062706270696</v>
      </c>
    </row>
    <row r="33" spans="2:15" x14ac:dyDescent="0.25">
      <c r="B33" s="3" t="s">
        <v>275</v>
      </c>
      <c r="C33" s="88">
        <f>C12/'Income Statement'!C14</f>
        <v>0.67808219178082196</v>
      </c>
      <c r="D33" s="88">
        <f>D12/'Income Statement'!D14</f>
        <v>1.5142045454545459</v>
      </c>
      <c r="E33" s="88">
        <f>E12/'Income Statement'!E14</f>
        <v>0.97551020408163269</v>
      </c>
      <c r="F33" s="88">
        <f>F12/'Income Statement'!F14</f>
        <v>0.58183738120380157</v>
      </c>
      <c r="G33" s="88">
        <f>G12/'Income Statement'!G14</f>
        <v>0.40113452188006471</v>
      </c>
      <c r="H33" s="88">
        <f>H12/'Income Statement'!H14</f>
        <v>4.724220623501207</v>
      </c>
      <c r="I33" s="88">
        <f>I12/'Income Statement'!I14</f>
        <v>1.6459143968871579</v>
      </c>
      <c r="J33" s="88">
        <f>J12/'Income Statement'!J14</f>
        <v>0.90352697095435752</v>
      </c>
      <c r="K33" s="88">
        <f>K12/'Income Statement'!K14</f>
        <v>1.4964200477326968</v>
      </c>
      <c r="L33" s="88">
        <f>L12/'Income Statement'!L14</f>
        <v>1.9075907590759105</v>
      </c>
    </row>
    <row r="34" spans="2:15" x14ac:dyDescent="0.25">
      <c r="B34" s="35"/>
    </row>
    <row r="35" spans="2:15" x14ac:dyDescent="0.25">
      <c r="B35" s="35"/>
    </row>
    <row r="36" spans="2:15" ht="15.75" x14ac:dyDescent="0.25">
      <c r="B36" s="38" t="s">
        <v>152</v>
      </c>
    </row>
    <row r="37" spans="2:15" x14ac:dyDescent="0.25">
      <c r="B37" s="18" t="s">
        <v>55</v>
      </c>
      <c r="C37" s="18" t="s">
        <v>223</v>
      </c>
      <c r="D37" s="18" t="s">
        <v>224</v>
      </c>
      <c r="E37" s="18" t="s">
        <v>229</v>
      </c>
      <c r="F37" s="18" t="s">
        <v>225</v>
      </c>
      <c r="G37" s="18" t="s">
        <v>355</v>
      </c>
    </row>
    <row r="38" spans="2:15" x14ac:dyDescent="0.25">
      <c r="B38" s="4" t="s">
        <v>250</v>
      </c>
      <c r="C38" s="4" t="s">
        <v>249</v>
      </c>
      <c r="D38" s="4" t="s">
        <v>38</v>
      </c>
      <c r="E38" s="4" t="s">
        <v>227</v>
      </c>
      <c r="F38" s="4" t="s">
        <v>405</v>
      </c>
      <c r="G38" s="4" t="s">
        <v>391</v>
      </c>
    </row>
    <row r="39" spans="2:15" x14ac:dyDescent="0.25">
      <c r="B39" s="4" t="s">
        <v>39</v>
      </c>
      <c r="C39" s="4" t="s">
        <v>39</v>
      </c>
      <c r="D39" s="4" t="s">
        <v>227</v>
      </c>
      <c r="E39" s="4"/>
      <c r="F39" s="4" t="s">
        <v>390</v>
      </c>
      <c r="G39" s="4" t="s">
        <v>392</v>
      </c>
    </row>
    <row r="40" spans="2:15" x14ac:dyDescent="0.25">
      <c r="B40" s="17" t="s">
        <v>251</v>
      </c>
      <c r="C40" s="4" t="s">
        <v>407</v>
      </c>
      <c r="D40" s="4" t="s">
        <v>227</v>
      </c>
      <c r="E40" s="4"/>
      <c r="F40" s="4" t="s">
        <v>404</v>
      </c>
      <c r="G40" s="4" t="s">
        <v>389</v>
      </c>
    </row>
    <row r="41" spans="2:15" x14ac:dyDescent="0.25">
      <c r="B41" s="4" t="s">
        <v>13</v>
      </c>
      <c r="C41" s="4" t="s">
        <v>125</v>
      </c>
      <c r="D41" s="4" t="s">
        <v>126</v>
      </c>
      <c r="E41" s="4" t="s">
        <v>252</v>
      </c>
      <c r="F41" s="4" t="s">
        <v>403</v>
      </c>
      <c r="G41" s="4" t="s">
        <v>406</v>
      </c>
      <c r="O41" s="7" t="s">
        <v>243</v>
      </c>
    </row>
    <row r="42" spans="2:15" x14ac:dyDescent="0.25">
      <c r="B42" s="4" t="s">
        <v>14</v>
      </c>
      <c r="C42" s="4" t="s">
        <v>14</v>
      </c>
      <c r="D42" s="4" t="s">
        <v>227</v>
      </c>
      <c r="E42" s="4"/>
      <c r="F42" s="4" t="s">
        <v>402</v>
      </c>
      <c r="G42" s="4" t="s">
        <v>393</v>
      </c>
      <c r="O42" s="4"/>
    </row>
    <row r="43" spans="2:15" x14ac:dyDescent="0.25">
      <c r="B43" s="4" t="s">
        <v>254</v>
      </c>
      <c r="C43" s="4" t="s">
        <v>129</v>
      </c>
      <c r="D43" s="4" t="s">
        <v>227</v>
      </c>
      <c r="E43" s="4"/>
      <c r="F43" s="4" t="s">
        <v>401</v>
      </c>
      <c r="G43" s="4" t="s">
        <v>394</v>
      </c>
      <c r="O43" s="4"/>
    </row>
    <row r="44" spans="2:15" x14ac:dyDescent="0.25">
      <c r="B44" s="4" t="s">
        <v>19</v>
      </c>
      <c r="C44" s="4" t="s">
        <v>16</v>
      </c>
      <c r="D44" s="4" t="s">
        <v>17</v>
      </c>
      <c r="E44" s="4" t="s">
        <v>18</v>
      </c>
      <c r="F44" s="4" t="s">
        <v>400</v>
      </c>
      <c r="G44" s="4" t="s">
        <v>395</v>
      </c>
      <c r="O44" s="17" t="s">
        <v>276</v>
      </c>
    </row>
    <row r="45" spans="2:15" x14ac:dyDescent="0.25">
      <c r="B45" s="4" t="s">
        <v>27</v>
      </c>
      <c r="C45" s="4" t="s">
        <v>274</v>
      </c>
      <c r="D45" s="4" t="s">
        <v>275</v>
      </c>
      <c r="E45" s="4" t="s">
        <v>227</v>
      </c>
      <c r="F45" s="4" t="s">
        <v>399</v>
      </c>
      <c r="G45" s="4" t="s">
        <v>396</v>
      </c>
      <c r="O45" s="4"/>
    </row>
    <row r="46" spans="2:15" x14ac:dyDescent="0.25">
      <c r="B46" s="4" t="s">
        <v>26</v>
      </c>
      <c r="C46" s="4" t="s">
        <v>15</v>
      </c>
      <c r="D46" s="4" t="s">
        <v>18</v>
      </c>
      <c r="E46" s="4" t="s">
        <v>139</v>
      </c>
      <c r="F46" s="4" t="s">
        <v>398</v>
      </c>
      <c r="G46" s="4" t="s">
        <v>397</v>
      </c>
      <c r="O46" s="7" t="s">
        <v>243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7AD6-9D13-44B2-9D74-F0CD896DC61A}">
  <dimension ref="A1:U50"/>
  <sheetViews>
    <sheetView zoomScaleNormal="100" workbookViewId="0">
      <selection activeCell="B14" sqref="B14"/>
    </sheetView>
  </sheetViews>
  <sheetFormatPr defaultColWidth="9" defaultRowHeight="14.25" x14ac:dyDescent="0.2"/>
  <cols>
    <col min="1" max="1" width="9" style="1"/>
    <col min="2" max="2" width="34.28515625" style="4" bestFit="1" customWidth="1"/>
    <col min="3" max="16" width="9" style="4"/>
    <col min="17" max="17" width="24.85546875" style="4" bestFit="1" customWidth="1"/>
    <col min="18" max="16384" width="9" style="4"/>
  </cols>
  <sheetData>
    <row r="1" spans="2:19" s="1" customFormat="1" x14ac:dyDescent="0.2"/>
    <row r="2" spans="2:19" s="1" customFormat="1" ht="18" x14ac:dyDescent="0.25">
      <c r="B2" s="6" t="s">
        <v>20</v>
      </c>
    </row>
    <row r="3" spans="2:19" s="1" customFormat="1" x14ac:dyDescent="0.2">
      <c r="B3" s="30" t="s">
        <v>33</v>
      </c>
      <c r="C3" s="8">
        <v>2015</v>
      </c>
      <c r="D3" s="8">
        <v>2016</v>
      </c>
      <c r="E3" s="8">
        <v>2017</v>
      </c>
      <c r="F3" s="8">
        <v>2018</v>
      </c>
      <c r="G3" s="8">
        <v>2019</v>
      </c>
      <c r="H3" s="8">
        <v>2020</v>
      </c>
      <c r="I3" s="8">
        <v>2021</v>
      </c>
      <c r="J3" s="8">
        <v>2022</v>
      </c>
      <c r="K3" s="8">
        <v>2023</v>
      </c>
      <c r="L3" s="8">
        <v>2024</v>
      </c>
    </row>
    <row r="4" spans="2:19" s="1" customFormat="1" x14ac:dyDescent="0.2">
      <c r="B4" s="37" t="s">
        <v>24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2:19" x14ac:dyDescent="0.2">
      <c r="B5" s="3" t="s">
        <v>144</v>
      </c>
      <c r="C5" s="3">
        <f>'Income Statement'!C21</f>
        <v>8.9000000000000057</v>
      </c>
      <c r="D5" s="3">
        <f>'Income Statement'!D21</f>
        <v>-42.500000000000014</v>
      </c>
      <c r="E5" s="3">
        <f>'Income Statement'!E21</f>
        <v>6.6000000000000085</v>
      </c>
      <c r="F5" s="3">
        <f>'Income Statement'!F21</f>
        <v>7.0999999999999943</v>
      </c>
      <c r="G5" s="3">
        <f>'Income Statement'!G21</f>
        <v>0.50000000000002842</v>
      </c>
      <c r="H5" s="3">
        <f>'Income Statement'!H21</f>
        <v>-74.300000000000068</v>
      </c>
      <c r="I5" s="3">
        <f>'Income Statement'!I21</f>
        <v>-40.299999999999926</v>
      </c>
      <c r="J5" s="3">
        <f>'Income Statement'!J21</f>
        <v>-17.900000000000091</v>
      </c>
      <c r="K5" s="3">
        <f>'Income Statement'!K21</f>
        <v>-37.899999999999977</v>
      </c>
      <c r="L5" s="3">
        <f>'Income Statement'!L21</f>
        <v>-69.700000000000074</v>
      </c>
      <c r="Q5" s="37" t="s">
        <v>336</v>
      </c>
      <c r="R5" s="3"/>
    </row>
    <row r="6" spans="2:19" x14ac:dyDescent="0.2">
      <c r="B6" s="3" t="s">
        <v>145</v>
      </c>
      <c r="C6" s="3">
        <f>ABS('Income Statement'!C20)</f>
        <v>64.099999999999994</v>
      </c>
      <c r="D6" s="3">
        <f>ABS('Income Statement'!D20)</f>
        <v>77.7</v>
      </c>
      <c r="E6" s="3">
        <f>ABS('Income Statement'!E20)</f>
        <v>66.899999999999991</v>
      </c>
      <c r="F6" s="3">
        <f>ABS('Income Statement'!F20)</f>
        <v>87.6</v>
      </c>
      <c r="G6" s="3">
        <f>ABS('Income Statement'!G20)</f>
        <v>122.9</v>
      </c>
      <c r="H6" s="3">
        <f>ABS('Income Statement'!H20)</f>
        <v>116</v>
      </c>
      <c r="I6" s="3">
        <f>ABS('Income Statement'!I20)</f>
        <v>117.4</v>
      </c>
      <c r="J6" s="3">
        <f>ABS('Income Statement'!J20)</f>
        <v>114.30000000000001</v>
      </c>
      <c r="K6" s="3">
        <f>ABS('Income Statement'!K20)</f>
        <v>121.69999999999999</v>
      </c>
      <c r="L6" s="3">
        <f>ABS('Income Statement'!L20)</f>
        <v>130.29999999999998</v>
      </c>
      <c r="Q6" s="3" t="s">
        <v>106</v>
      </c>
      <c r="R6" s="3">
        <f>ABS(SUM(C15:L15))</f>
        <v>30.900000000000002</v>
      </c>
    </row>
    <row r="7" spans="2:19" x14ac:dyDescent="0.2">
      <c r="B7" s="3" t="s">
        <v>146</v>
      </c>
      <c r="C7" s="3">
        <v>0</v>
      </c>
      <c r="D7" s="3">
        <f>'Income Statement'!D23</f>
        <v>42.1</v>
      </c>
      <c r="E7" s="3">
        <f>'Income Statement'!E23</f>
        <v>38.299999999999997</v>
      </c>
      <c r="F7" s="3">
        <f>'Income Statement'!F23</f>
        <v>123.9</v>
      </c>
      <c r="G7" s="3">
        <f>'Income Statement'!G23</f>
        <v>45.2</v>
      </c>
      <c r="H7" s="3">
        <f>'Income Statement'!H23</f>
        <v>26.9</v>
      </c>
      <c r="I7" s="3">
        <f>'Income Statement'!I23</f>
        <v>39.299999999999997</v>
      </c>
      <c r="J7" s="3">
        <f>'Income Statement'!J23</f>
        <v>28.1</v>
      </c>
      <c r="K7" s="3">
        <f>'Income Statement'!K23</f>
        <v>33.799999999999997</v>
      </c>
      <c r="L7" s="3">
        <f>'Income Statement'!L23</f>
        <v>22</v>
      </c>
      <c r="Q7" s="3" t="s">
        <v>116</v>
      </c>
      <c r="R7" s="3">
        <f>ABS(SUM(C22:L22))</f>
        <v>669.4</v>
      </c>
    </row>
    <row r="8" spans="2:19" x14ac:dyDescent="0.2">
      <c r="B8" s="8" t="s">
        <v>101</v>
      </c>
      <c r="C8" s="47">
        <f t="shared" ref="C8:L8" si="0">C5+C6-C7</f>
        <v>73</v>
      </c>
      <c r="D8" s="47">
        <f t="shared" si="0"/>
        <v>-6.9000000000000128</v>
      </c>
      <c r="E8" s="47">
        <f t="shared" si="0"/>
        <v>35.200000000000003</v>
      </c>
      <c r="F8" s="47">
        <f t="shared" si="0"/>
        <v>-29.200000000000017</v>
      </c>
      <c r="G8" s="47">
        <f t="shared" si="0"/>
        <v>78.200000000000031</v>
      </c>
      <c r="H8" s="47">
        <f t="shared" si="0"/>
        <v>14.799999999999933</v>
      </c>
      <c r="I8" s="47">
        <f t="shared" si="0"/>
        <v>37.800000000000082</v>
      </c>
      <c r="J8" s="47">
        <f t="shared" si="0"/>
        <v>68.299999999999926</v>
      </c>
      <c r="K8" s="47">
        <f t="shared" si="0"/>
        <v>50.000000000000014</v>
      </c>
      <c r="L8" s="47">
        <f t="shared" si="0"/>
        <v>38.599999999999909</v>
      </c>
      <c r="Q8" s="3" t="s">
        <v>143</v>
      </c>
      <c r="R8" s="3">
        <f>ABS(SUM(C23:L23))</f>
        <v>357.75</v>
      </c>
    </row>
    <row r="9" spans="2:19" x14ac:dyDescent="0.2">
      <c r="B9" s="3" t="s">
        <v>102</v>
      </c>
      <c r="C9" s="3">
        <f>'Income Statement'!C22</f>
        <v>0.3</v>
      </c>
      <c r="D9" s="3">
        <f>'Income Statement'!D22</f>
        <v>-15.7</v>
      </c>
      <c r="E9" s="3">
        <f>'Income Statement'!E22</f>
        <v>0</v>
      </c>
      <c r="F9" s="3">
        <f>'Income Statement'!F22</f>
        <v>0</v>
      </c>
      <c r="G9" s="3">
        <f>'Income Statement'!G22</f>
        <v>0</v>
      </c>
      <c r="H9" s="3">
        <f>'Income Statement'!H22</f>
        <v>0</v>
      </c>
      <c r="I9" s="3">
        <f>'Income Statement'!I22</f>
        <v>0</v>
      </c>
      <c r="J9" s="3">
        <f>'Income Statement'!J22</f>
        <v>0</v>
      </c>
      <c r="K9" s="3">
        <f>'Income Statement'!K22</f>
        <v>0</v>
      </c>
      <c r="L9" s="3">
        <f>'Income Statement'!L22</f>
        <v>0</v>
      </c>
      <c r="M9" s="19"/>
    </row>
    <row r="10" spans="2:19" x14ac:dyDescent="0.2">
      <c r="B10" s="8" t="s">
        <v>103</v>
      </c>
      <c r="C10" s="47">
        <f>C8-C9</f>
        <v>72.7</v>
      </c>
      <c r="D10" s="47">
        <f>D8-D9</f>
        <v>8.7999999999999865</v>
      </c>
      <c r="E10" s="47">
        <f t="shared" ref="E10:J10" si="1">E8+E9</f>
        <v>35.200000000000003</v>
      </c>
      <c r="F10" s="47">
        <f t="shared" si="1"/>
        <v>-29.200000000000017</v>
      </c>
      <c r="G10" s="47">
        <f t="shared" si="1"/>
        <v>78.200000000000031</v>
      </c>
      <c r="H10" s="47">
        <f t="shared" si="1"/>
        <v>14.799999999999933</v>
      </c>
      <c r="I10" s="47">
        <f t="shared" si="1"/>
        <v>37.800000000000082</v>
      </c>
      <c r="J10" s="47">
        <f t="shared" si="1"/>
        <v>68.299999999999926</v>
      </c>
      <c r="K10" s="47">
        <f>K8+K9</f>
        <v>50.000000000000014</v>
      </c>
      <c r="L10" s="47">
        <f>L8+L9</f>
        <v>38.599999999999909</v>
      </c>
    </row>
    <row r="11" spans="2:19" x14ac:dyDescent="0.2">
      <c r="B11" s="3" t="s">
        <v>104</v>
      </c>
      <c r="C11" s="3">
        <v>-7.62</v>
      </c>
      <c r="D11" s="3">
        <v>12.7</v>
      </c>
      <c r="E11" s="3"/>
      <c r="F11" s="3"/>
      <c r="G11" s="3">
        <v>7.4</v>
      </c>
      <c r="H11" s="3">
        <v>52.1</v>
      </c>
      <c r="I11" s="3">
        <v>-54</v>
      </c>
      <c r="J11" s="3">
        <v>16.3</v>
      </c>
      <c r="K11" s="3">
        <v>5.0999999999999996</v>
      </c>
      <c r="L11" s="3">
        <v>22.6</v>
      </c>
    </row>
    <row r="12" spans="2:19" x14ac:dyDescent="0.2">
      <c r="B12" s="56" t="s">
        <v>150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9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9" x14ac:dyDescent="0.2">
      <c r="B14" s="8" t="s">
        <v>105</v>
      </c>
      <c r="C14" s="50">
        <v>64.599999999999994</v>
      </c>
      <c r="D14" s="50">
        <v>39.1</v>
      </c>
      <c r="E14" s="50">
        <v>73.5</v>
      </c>
      <c r="F14" s="50">
        <v>103.1</v>
      </c>
      <c r="G14" s="50">
        <v>130.80000000000001</v>
      </c>
      <c r="H14" s="50">
        <v>93.9</v>
      </c>
      <c r="I14" s="50">
        <v>23.1</v>
      </c>
      <c r="J14" s="50">
        <v>112.7</v>
      </c>
      <c r="K14" s="50">
        <v>88.9</v>
      </c>
      <c r="L14" s="50">
        <v>83.7</v>
      </c>
    </row>
    <row r="15" spans="2:19" x14ac:dyDescent="0.2">
      <c r="B15" s="3" t="s">
        <v>106</v>
      </c>
      <c r="C15" s="3">
        <v>-2.8</v>
      </c>
      <c r="D15" s="3">
        <v>-2.2999999999999998</v>
      </c>
      <c r="E15" s="3">
        <v>-2.5</v>
      </c>
      <c r="F15" s="3">
        <v>-1.8</v>
      </c>
      <c r="G15" s="3">
        <v>-1.8</v>
      </c>
      <c r="H15" s="3">
        <v>-1.8</v>
      </c>
      <c r="I15" s="3">
        <v>-3.3</v>
      </c>
      <c r="J15" s="3">
        <v>-2.2000000000000002</v>
      </c>
      <c r="K15" s="3">
        <v>-4.0999999999999996</v>
      </c>
      <c r="L15" s="3">
        <v>-8.3000000000000007</v>
      </c>
    </row>
    <row r="16" spans="2:19" ht="15.75" thickBot="1" x14ac:dyDescent="0.3">
      <c r="B16" s="3" t="s">
        <v>107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1"/>
      <c r="S16"/>
    </row>
    <row r="17" spans="2:21" ht="15.75" thickTop="1" x14ac:dyDescent="0.25">
      <c r="B17" s="57" t="s">
        <v>108</v>
      </c>
      <c r="C17" s="58">
        <f>C14+C15+C16</f>
        <v>61.8</v>
      </c>
      <c r="D17" s="58">
        <f t="shared" ref="D17:L17" si="2">D14+D15+D16</f>
        <v>36.800000000000004</v>
      </c>
      <c r="E17" s="58">
        <f t="shared" si="2"/>
        <v>71</v>
      </c>
      <c r="F17" s="58">
        <f t="shared" si="2"/>
        <v>101.3</v>
      </c>
      <c r="G17" s="58">
        <f t="shared" si="2"/>
        <v>129</v>
      </c>
      <c r="H17" s="58">
        <f t="shared" si="2"/>
        <v>92.100000000000009</v>
      </c>
      <c r="I17" s="58">
        <f t="shared" si="2"/>
        <v>19.8</v>
      </c>
      <c r="J17" s="58">
        <f t="shared" si="2"/>
        <v>110.5</v>
      </c>
      <c r="K17" s="58">
        <f t="shared" si="2"/>
        <v>84.800000000000011</v>
      </c>
      <c r="L17" s="58">
        <f t="shared" si="2"/>
        <v>75.400000000000006</v>
      </c>
      <c r="U17"/>
    </row>
    <row r="18" spans="2:2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59"/>
    </row>
    <row r="19" spans="2:21" x14ac:dyDescent="0.2">
      <c r="B19" s="37" t="s">
        <v>109</v>
      </c>
      <c r="C19" s="3"/>
      <c r="D19" s="3"/>
      <c r="E19" s="3"/>
      <c r="F19" s="3"/>
      <c r="G19" s="3"/>
      <c r="H19" s="3"/>
      <c r="I19" s="3"/>
      <c r="J19" s="3"/>
      <c r="K19" s="3"/>
      <c r="L19" s="59"/>
    </row>
    <row r="20" spans="2:21" x14ac:dyDescent="0.2">
      <c r="B20" s="3" t="s">
        <v>114</v>
      </c>
      <c r="C20" s="3">
        <v>36.9</v>
      </c>
      <c r="D20" s="3">
        <v>62</v>
      </c>
      <c r="E20" s="3">
        <v>58.4</v>
      </c>
      <c r="F20" s="3">
        <v>104.9</v>
      </c>
      <c r="G20" s="3">
        <v>114.8</v>
      </c>
      <c r="H20" s="3">
        <v>32</v>
      </c>
      <c r="I20" s="3">
        <v>34.5</v>
      </c>
      <c r="J20" s="3">
        <v>32.200000000000003</v>
      </c>
      <c r="K20" s="3">
        <v>39.1</v>
      </c>
      <c r="L20" s="3">
        <v>49.1</v>
      </c>
    </row>
    <row r="21" spans="2:21" x14ac:dyDescent="0.2">
      <c r="B21" s="3" t="s">
        <v>115</v>
      </c>
      <c r="C21" s="3">
        <v>-95.6</v>
      </c>
      <c r="D21" s="3">
        <v>-99.8</v>
      </c>
      <c r="E21" s="3">
        <v>-97.2</v>
      </c>
      <c r="F21" s="3">
        <v>-154.1</v>
      </c>
      <c r="G21" s="3">
        <v>-173.9</v>
      </c>
      <c r="H21" s="3">
        <v>-121.5</v>
      </c>
      <c r="I21" s="3">
        <v>-90.2</v>
      </c>
      <c r="J21" s="3">
        <v>-97.2</v>
      </c>
      <c r="K21" s="3">
        <v>-122.2</v>
      </c>
      <c r="L21" s="3">
        <v>-181.6</v>
      </c>
    </row>
    <row r="22" spans="2:21" x14ac:dyDescent="0.2">
      <c r="B22" s="3" t="s">
        <v>116</v>
      </c>
      <c r="C22" s="3">
        <f t="shared" ref="C22:J22" si="3">C20+C21</f>
        <v>-58.699999999999996</v>
      </c>
      <c r="D22" s="3">
        <f t="shared" si="3"/>
        <v>-37.799999999999997</v>
      </c>
      <c r="E22" s="3">
        <f t="shared" si="3"/>
        <v>-38.800000000000004</v>
      </c>
      <c r="F22" s="3">
        <f t="shared" si="3"/>
        <v>-49.199999999999989</v>
      </c>
      <c r="G22" s="3">
        <f t="shared" si="3"/>
        <v>-59.100000000000009</v>
      </c>
      <c r="H22" s="3">
        <f t="shared" si="3"/>
        <v>-89.5</v>
      </c>
      <c r="I22" s="3">
        <f t="shared" si="3"/>
        <v>-55.7</v>
      </c>
      <c r="J22" s="3">
        <f t="shared" si="3"/>
        <v>-65</v>
      </c>
      <c r="K22" s="3">
        <f>K20+K21</f>
        <v>-83.1</v>
      </c>
      <c r="L22" s="3">
        <f>L20+L21</f>
        <v>-132.5</v>
      </c>
    </row>
    <row r="23" spans="2:21" x14ac:dyDescent="0.2">
      <c r="B23" s="3" t="s">
        <v>143</v>
      </c>
      <c r="C23" s="60">
        <v>-39.6</v>
      </c>
      <c r="D23" s="60">
        <v>-57.4</v>
      </c>
      <c r="E23" s="60">
        <v>-52</v>
      </c>
      <c r="F23" s="60">
        <v>-15.9</v>
      </c>
      <c r="G23" s="60">
        <v>-22.6</v>
      </c>
      <c r="H23" s="60">
        <v>-29.7</v>
      </c>
      <c r="I23" s="60">
        <v>-11.35</v>
      </c>
      <c r="J23" s="60">
        <v>-23.4</v>
      </c>
      <c r="K23" s="60">
        <v>-49.8</v>
      </c>
      <c r="L23" s="60">
        <v>-56</v>
      </c>
    </row>
    <row r="24" spans="2:21" x14ac:dyDescent="0.2">
      <c r="B24" s="61" t="s">
        <v>110</v>
      </c>
      <c r="C24" s="62">
        <f t="shared" ref="C24:J24" si="4">C20+C21+C23</f>
        <v>-98.3</v>
      </c>
      <c r="D24" s="62">
        <f>D20+D21+D23</f>
        <v>-95.199999999999989</v>
      </c>
      <c r="E24" s="62">
        <f t="shared" si="4"/>
        <v>-90.800000000000011</v>
      </c>
      <c r="F24" s="62">
        <f t="shared" si="4"/>
        <v>-65.099999999999994</v>
      </c>
      <c r="G24" s="62">
        <f t="shared" si="4"/>
        <v>-81.700000000000017</v>
      </c>
      <c r="H24" s="62">
        <f t="shared" si="4"/>
        <v>-119.2</v>
      </c>
      <c r="I24" s="62">
        <f t="shared" si="4"/>
        <v>-67.05</v>
      </c>
      <c r="J24" s="62">
        <f t="shared" si="4"/>
        <v>-88.4</v>
      </c>
      <c r="K24" s="62">
        <f>K20+K21+K23</f>
        <v>-132.89999999999998</v>
      </c>
      <c r="L24" s="62">
        <f>L20+L21+L23</f>
        <v>-188.5</v>
      </c>
    </row>
    <row r="25" spans="2:21" x14ac:dyDescent="0.2">
      <c r="B25" s="63" t="s">
        <v>112</v>
      </c>
      <c r="C25" s="51">
        <f>C17+C24</f>
        <v>-36.5</v>
      </c>
      <c r="D25" s="51">
        <f>D17+D24</f>
        <v>-58.399999999999984</v>
      </c>
      <c r="E25" s="51">
        <f t="shared" ref="E25:K25" si="5">E17+E24</f>
        <v>-19.800000000000011</v>
      </c>
      <c r="F25" s="51">
        <f t="shared" si="5"/>
        <v>36.200000000000003</v>
      </c>
      <c r="G25" s="51">
        <f t="shared" si="5"/>
        <v>47.299999999999983</v>
      </c>
      <c r="H25" s="51">
        <f t="shared" si="5"/>
        <v>-27.099999999999994</v>
      </c>
      <c r="I25" s="51">
        <f t="shared" si="5"/>
        <v>-47.25</v>
      </c>
      <c r="J25" s="51">
        <f t="shared" si="5"/>
        <v>22.099999999999994</v>
      </c>
      <c r="K25" s="51">
        <f t="shared" si="5"/>
        <v>-48.099999999999966</v>
      </c>
      <c r="L25" s="51">
        <f>L17+L24</f>
        <v>-113.1</v>
      </c>
    </row>
    <row r="26" spans="2:2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59"/>
    </row>
    <row r="27" spans="2:21" x14ac:dyDescent="0.2">
      <c r="B27" s="37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59"/>
    </row>
    <row r="28" spans="2:21" x14ac:dyDescent="0.2">
      <c r="B28" s="3" t="s">
        <v>147</v>
      </c>
      <c r="C28" s="3">
        <v>49</v>
      </c>
      <c r="D28" s="3">
        <v>59.6</v>
      </c>
      <c r="E28" s="3">
        <v>-2.4</v>
      </c>
      <c r="F28" s="3">
        <v>-12.9</v>
      </c>
      <c r="G28" s="3">
        <v>-14</v>
      </c>
      <c r="H28" s="3">
        <v>-7.9</v>
      </c>
      <c r="I28" s="3">
        <v>0</v>
      </c>
      <c r="J28" s="3">
        <v>0</v>
      </c>
      <c r="K28" s="3">
        <v>0</v>
      </c>
      <c r="L28" s="3">
        <v>127.3</v>
      </c>
    </row>
    <row r="29" spans="2:21" x14ac:dyDescent="0.2">
      <c r="B29" s="3" t="s">
        <v>148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2:21" x14ac:dyDescent="0.2">
      <c r="B30" s="3" t="s">
        <v>149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2:21" x14ac:dyDescent="0.2">
      <c r="B31" s="8" t="s">
        <v>22</v>
      </c>
      <c r="C31" s="8">
        <f>SUM(C28:C30)</f>
        <v>49</v>
      </c>
      <c r="D31" s="8">
        <f t="shared" ref="D31:L31" si="6">SUM(D28:D30)</f>
        <v>59.6</v>
      </c>
      <c r="E31" s="8">
        <f t="shared" si="6"/>
        <v>-2.4</v>
      </c>
      <c r="F31" s="8">
        <f t="shared" si="6"/>
        <v>-12.9</v>
      </c>
      <c r="G31" s="8">
        <f t="shared" si="6"/>
        <v>-14</v>
      </c>
      <c r="H31" s="8">
        <f t="shared" si="6"/>
        <v>-7.9</v>
      </c>
      <c r="I31" s="8">
        <f t="shared" si="6"/>
        <v>0</v>
      </c>
      <c r="J31" s="8">
        <f t="shared" si="6"/>
        <v>0</v>
      </c>
      <c r="K31" s="8">
        <f t="shared" si="6"/>
        <v>0</v>
      </c>
      <c r="L31" s="8">
        <f t="shared" si="6"/>
        <v>127.3</v>
      </c>
    </row>
    <row r="32" spans="2:21" x14ac:dyDescent="0.2">
      <c r="B32" s="3" t="s">
        <v>111</v>
      </c>
      <c r="C32" s="3">
        <v>-9</v>
      </c>
      <c r="D32" s="3">
        <v>3</v>
      </c>
      <c r="E32" s="3">
        <v>18</v>
      </c>
      <c r="F32" s="3">
        <v>-17</v>
      </c>
      <c r="G32" s="3">
        <v>-6</v>
      </c>
      <c r="H32" s="3">
        <v>146.9</v>
      </c>
      <c r="I32" s="3">
        <v>-70.400000000000006</v>
      </c>
      <c r="J32" s="3">
        <v>-40</v>
      </c>
      <c r="K32" s="3">
        <v>38</v>
      </c>
      <c r="L32" s="3">
        <v>-10.199999999999999</v>
      </c>
    </row>
    <row r="33" spans="2:16" x14ac:dyDescent="0.2">
      <c r="B33" s="64" t="s">
        <v>25</v>
      </c>
      <c r="C33" s="44">
        <f t="shared" ref="C33:K33" si="7">C31+C32</f>
        <v>40</v>
      </c>
      <c r="D33" s="44">
        <f t="shared" si="7"/>
        <v>62.6</v>
      </c>
      <c r="E33" s="44">
        <f t="shared" si="7"/>
        <v>15.6</v>
      </c>
      <c r="F33" s="44">
        <f t="shared" si="7"/>
        <v>-29.9</v>
      </c>
      <c r="G33" s="44">
        <f t="shared" si="7"/>
        <v>-20</v>
      </c>
      <c r="H33" s="44">
        <f t="shared" si="7"/>
        <v>139</v>
      </c>
      <c r="I33" s="44">
        <f t="shared" si="7"/>
        <v>-70.400000000000006</v>
      </c>
      <c r="J33" s="44">
        <f t="shared" si="7"/>
        <v>-40</v>
      </c>
      <c r="K33" s="44">
        <f t="shared" si="7"/>
        <v>38</v>
      </c>
      <c r="L33" s="44">
        <f>L31+L32</f>
        <v>117.1</v>
      </c>
    </row>
    <row r="34" spans="2:16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59"/>
    </row>
    <row r="35" spans="2:16" x14ac:dyDescent="0.2">
      <c r="B35" s="65" t="s">
        <v>117</v>
      </c>
      <c r="C35" s="66">
        <f t="shared" ref="C35:H35" si="8">C17+C24+C33</f>
        <v>3.5</v>
      </c>
      <c r="D35" s="66">
        <f t="shared" si="8"/>
        <v>4.2000000000000171</v>
      </c>
      <c r="E35" s="66">
        <f t="shared" si="8"/>
        <v>-4.2000000000000117</v>
      </c>
      <c r="F35" s="66">
        <f t="shared" si="8"/>
        <v>6.3000000000000043</v>
      </c>
      <c r="G35" s="66">
        <f t="shared" si="8"/>
        <v>27.299999999999983</v>
      </c>
      <c r="H35" s="66">
        <f t="shared" si="8"/>
        <v>111.9</v>
      </c>
      <c r="I35" s="66">
        <f t="shared" ref="I35:L35" si="9">I17+I24+I33</f>
        <v>-117.65</v>
      </c>
      <c r="J35" s="66">
        <f t="shared" si="9"/>
        <v>-17.900000000000006</v>
      </c>
      <c r="K35" s="66">
        <f t="shared" si="9"/>
        <v>-10.099999999999966</v>
      </c>
      <c r="L35" s="66">
        <f t="shared" si="9"/>
        <v>4</v>
      </c>
    </row>
    <row r="36" spans="2:16" x14ac:dyDescent="0.2">
      <c r="B36" s="3" t="s">
        <v>50</v>
      </c>
      <c r="C36" s="3"/>
      <c r="D36" s="3">
        <f>C37</f>
        <v>3.5</v>
      </c>
      <c r="E36" s="3">
        <f t="shared" ref="E36:L36" si="10">D37</f>
        <v>7.7000000000000171</v>
      </c>
      <c r="F36" s="3">
        <f t="shared" si="10"/>
        <v>3.5000000000000053</v>
      </c>
      <c r="G36" s="3">
        <f t="shared" si="10"/>
        <v>9.8000000000000096</v>
      </c>
      <c r="H36" s="3">
        <f t="shared" si="10"/>
        <v>37.099999999999994</v>
      </c>
      <c r="I36" s="3">
        <f t="shared" si="10"/>
        <v>149</v>
      </c>
      <c r="J36" s="3">
        <f t="shared" si="10"/>
        <v>31.349999999999994</v>
      </c>
      <c r="K36" s="3">
        <f t="shared" si="10"/>
        <v>13.449999999999989</v>
      </c>
      <c r="L36" s="3">
        <f t="shared" si="10"/>
        <v>3.3500000000000227</v>
      </c>
    </row>
    <row r="37" spans="2:16" x14ac:dyDescent="0.2">
      <c r="B37" s="3" t="s">
        <v>51</v>
      </c>
      <c r="C37" s="3">
        <f>C36+C35</f>
        <v>3.5</v>
      </c>
      <c r="D37" s="3">
        <f t="shared" ref="D37:L37" si="11">D36+D35</f>
        <v>7.7000000000000171</v>
      </c>
      <c r="E37" s="3">
        <f t="shared" si="11"/>
        <v>3.5000000000000053</v>
      </c>
      <c r="F37" s="3">
        <f t="shared" si="11"/>
        <v>9.8000000000000096</v>
      </c>
      <c r="G37" s="3">
        <f t="shared" si="11"/>
        <v>37.099999999999994</v>
      </c>
      <c r="H37" s="3">
        <f t="shared" si="11"/>
        <v>149</v>
      </c>
      <c r="I37" s="3">
        <f t="shared" si="11"/>
        <v>31.349999999999994</v>
      </c>
      <c r="J37" s="3">
        <f t="shared" si="11"/>
        <v>13.449999999999989</v>
      </c>
      <c r="K37" s="3">
        <f t="shared" si="11"/>
        <v>3.3500000000000227</v>
      </c>
      <c r="L37" s="3">
        <f t="shared" si="11"/>
        <v>7.3500000000000227</v>
      </c>
    </row>
    <row r="41" spans="2:16" x14ac:dyDescent="0.2">
      <c r="M41" s="1"/>
    </row>
    <row r="42" spans="2:16" ht="15.75" x14ac:dyDescent="0.25">
      <c r="B42" s="38" t="s">
        <v>152</v>
      </c>
    </row>
    <row r="43" spans="2:16" x14ac:dyDescent="0.2">
      <c r="B43" s="18" t="s">
        <v>55</v>
      </c>
      <c r="C43" s="18" t="s">
        <v>223</v>
      </c>
      <c r="D43" s="18" t="s">
        <v>224</v>
      </c>
      <c r="E43" s="18" t="s">
        <v>229</v>
      </c>
      <c r="F43" s="18" t="s">
        <v>230</v>
      </c>
      <c r="G43" s="30" t="s">
        <v>225</v>
      </c>
      <c r="H43" s="30" t="s">
        <v>355</v>
      </c>
    </row>
    <row r="44" spans="2:16" x14ac:dyDescent="0.2">
      <c r="B44" s="4" t="s">
        <v>21</v>
      </c>
      <c r="C44" s="4" t="s">
        <v>21</v>
      </c>
      <c r="D44" s="4" t="s">
        <v>227</v>
      </c>
      <c r="G44" s="4" t="s">
        <v>433</v>
      </c>
      <c r="H44" s="4" t="s">
        <v>442</v>
      </c>
    </row>
    <row r="45" spans="2:16" x14ac:dyDescent="0.2">
      <c r="B45" s="4" t="s">
        <v>256</v>
      </c>
      <c r="C45" s="4" t="s">
        <v>257</v>
      </c>
      <c r="D45" s="4" t="s">
        <v>143</v>
      </c>
      <c r="E45" s="4" t="s">
        <v>258</v>
      </c>
      <c r="F45" s="4" t="s">
        <v>227</v>
      </c>
      <c r="G45" s="4" t="s">
        <v>434</v>
      </c>
      <c r="H45" s="4" t="s">
        <v>443</v>
      </c>
      <c r="P45" s="7" t="s">
        <v>243</v>
      </c>
    </row>
    <row r="46" spans="2:16" x14ac:dyDescent="0.2">
      <c r="B46" s="4" t="s">
        <v>259</v>
      </c>
      <c r="C46" s="4" t="s">
        <v>259</v>
      </c>
      <c r="D46" s="4" t="s">
        <v>227</v>
      </c>
      <c r="G46" s="4" t="s">
        <v>435</v>
      </c>
      <c r="H46" s="4" t="s">
        <v>444</v>
      </c>
    </row>
    <row r="47" spans="2:16" x14ac:dyDescent="0.2">
      <c r="B47" s="4" t="s">
        <v>24</v>
      </c>
      <c r="C47" s="4" t="s">
        <v>24</v>
      </c>
      <c r="D47" s="4" t="s">
        <v>227</v>
      </c>
      <c r="G47" s="4" t="s">
        <v>436</v>
      </c>
      <c r="H47" s="4" t="s">
        <v>445</v>
      </c>
    </row>
    <row r="48" spans="2:16" x14ac:dyDescent="0.2">
      <c r="B48" s="4" t="s">
        <v>269</v>
      </c>
      <c r="C48" s="4" t="s">
        <v>269</v>
      </c>
      <c r="D48" s="4" t="s">
        <v>227</v>
      </c>
      <c r="G48" s="4" t="s">
        <v>437</v>
      </c>
      <c r="H48" s="4" t="s">
        <v>446</v>
      </c>
    </row>
    <row r="49" spans="2:16" x14ac:dyDescent="0.2">
      <c r="B49" s="4" t="s">
        <v>270</v>
      </c>
      <c r="C49" s="4" t="s">
        <v>440</v>
      </c>
      <c r="D49" s="4" t="s">
        <v>441</v>
      </c>
      <c r="E49" s="4" t="s">
        <v>227</v>
      </c>
      <c r="G49" s="4" t="s">
        <v>438</v>
      </c>
      <c r="H49" s="4" t="s">
        <v>447</v>
      </c>
    </row>
    <row r="50" spans="2:16" x14ac:dyDescent="0.2">
      <c r="B50" s="4" t="s">
        <v>271</v>
      </c>
      <c r="C50" s="4" t="s">
        <v>269</v>
      </c>
      <c r="D50" s="4" t="s">
        <v>272</v>
      </c>
      <c r="E50" s="4" t="s">
        <v>273</v>
      </c>
      <c r="F50" s="4" t="s">
        <v>227</v>
      </c>
      <c r="G50" s="4" t="s">
        <v>439</v>
      </c>
      <c r="H50" s="4" t="s">
        <v>448</v>
      </c>
      <c r="P50" s="7" t="s">
        <v>243</v>
      </c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524D-D48A-47B2-839C-F34CF6E22AE7}">
  <dimension ref="B2:J30"/>
  <sheetViews>
    <sheetView workbookViewId="0">
      <selection activeCell="B23" sqref="B23"/>
    </sheetView>
  </sheetViews>
  <sheetFormatPr defaultRowHeight="15" x14ac:dyDescent="0.25"/>
  <cols>
    <col min="2" max="2" width="24.28515625" bestFit="1" customWidth="1"/>
    <col min="3" max="3" width="32.140625" bestFit="1" customWidth="1"/>
    <col min="4" max="4" width="27.140625" bestFit="1" customWidth="1"/>
    <col min="5" max="5" width="20.42578125" bestFit="1" customWidth="1"/>
    <col min="6" max="6" width="39" customWidth="1"/>
    <col min="7" max="7" width="59.7109375" bestFit="1" customWidth="1"/>
  </cols>
  <sheetData>
    <row r="2" spans="2:10" ht="18" x14ac:dyDescent="0.25">
      <c r="B2" s="6" t="s">
        <v>1</v>
      </c>
      <c r="C2" s="1"/>
      <c r="D2" s="1"/>
      <c r="E2" s="1"/>
      <c r="F2" s="1"/>
      <c r="G2" s="1"/>
      <c r="H2" s="1"/>
      <c r="I2" s="1"/>
    </row>
    <row r="3" spans="2:10" x14ac:dyDescent="0.25">
      <c r="B3" s="7" t="s">
        <v>218</v>
      </c>
      <c r="C3" s="7" t="s">
        <v>206</v>
      </c>
      <c r="D3" s="7" t="s">
        <v>207</v>
      </c>
      <c r="E3" s="7" t="s">
        <v>219</v>
      </c>
      <c r="F3" s="7" t="s">
        <v>457</v>
      </c>
      <c r="G3" s="7" t="s">
        <v>458</v>
      </c>
      <c r="H3" s="1"/>
      <c r="I3" s="1"/>
    </row>
    <row r="4" spans="2:10" x14ac:dyDescent="0.25">
      <c r="B4" s="4" t="s">
        <v>220</v>
      </c>
      <c r="C4" s="4" t="s">
        <v>220</v>
      </c>
      <c r="D4" s="4" t="s">
        <v>456</v>
      </c>
      <c r="E4" s="4" t="s">
        <v>241</v>
      </c>
      <c r="F4" s="4" t="s">
        <v>459</v>
      </c>
      <c r="G4" s="4" t="s">
        <v>460</v>
      </c>
      <c r="H4" s="1"/>
      <c r="I4" s="1"/>
    </row>
    <row r="5" spans="2:10" x14ac:dyDescent="0.25">
      <c r="B5" s="4" t="s">
        <v>222</v>
      </c>
      <c r="C5" s="4" t="s">
        <v>2</v>
      </c>
      <c r="D5" s="4" t="s">
        <v>456</v>
      </c>
      <c r="E5" s="4" t="s">
        <v>241</v>
      </c>
      <c r="F5" s="4" t="s">
        <v>459</v>
      </c>
      <c r="G5" s="4" t="s">
        <v>460</v>
      </c>
      <c r="H5" s="1"/>
      <c r="I5" s="1"/>
    </row>
    <row r="6" spans="2:10" x14ac:dyDescent="0.25">
      <c r="B6" s="4" t="s">
        <v>144</v>
      </c>
      <c r="C6" s="4" t="s">
        <v>144</v>
      </c>
      <c r="D6" s="4" t="s">
        <v>456</v>
      </c>
      <c r="E6" s="4" t="s">
        <v>241</v>
      </c>
      <c r="F6" s="4" t="s">
        <v>459</v>
      </c>
      <c r="G6" s="4" t="s">
        <v>460</v>
      </c>
      <c r="H6" s="1"/>
      <c r="I6" s="1"/>
    </row>
    <row r="7" spans="2:10" x14ac:dyDescent="0.25">
      <c r="B7" s="4" t="s">
        <v>4</v>
      </c>
      <c r="C7" s="4" t="s">
        <v>4</v>
      </c>
      <c r="D7" s="4" t="s">
        <v>456</v>
      </c>
      <c r="E7" s="4" t="s">
        <v>241</v>
      </c>
      <c r="F7" s="4" t="s">
        <v>459</v>
      </c>
      <c r="G7" s="4" t="s">
        <v>460</v>
      </c>
      <c r="H7" s="1"/>
      <c r="I7" s="1"/>
    </row>
    <row r="8" spans="2:10" x14ac:dyDescent="0.25">
      <c r="B8" s="4" t="s">
        <v>228</v>
      </c>
      <c r="C8" s="4" t="s">
        <v>100</v>
      </c>
      <c r="D8" s="4" t="s">
        <v>456</v>
      </c>
      <c r="E8" s="4" t="s">
        <v>241</v>
      </c>
      <c r="F8" s="4" t="s">
        <v>459</v>
      </c>
      <c r="G8" s="4" t="s">
        <v>460</v>
      </c>
      <c r="H8" s="1"/>
      <c r="I8" s="1"/>
    </row>
    <row r="9" spans="2:10" x14ac:dyDescent="0.25">
      <c r="B9" s="4" t="s">
        <v>216</v>
      </c>
      <c r="C9" s="4" t="s">
        <v>239</v>
      </c>
      <c r="D9" s="4" t="s">
        <v>456</v>
      </c>
      <c r="E9" s="4" t="s">
        <v>241</v>
      </c>
      <c r="F9" s="4" t="s">
        <v>459</v>
      </c>
      <c r="G9" s="4" t="s">
        <v>460</v>
      </c>
      <c r="H9" s="1"/>
      <c r="I9" s="1"/>
      <c r="J9" s="1"/>
    </row>
    <row r="10" spans="2:10" x14ac:dyDescent="0.25">
      <c r="B10" s="4" t="s">
        <v>242</v>
      </c>
      <c r="C10" s="4" t="s">
        <v>7</v>
      </c>
      <c r="D10" s="4" t="s">
        <v>456</v>
      </c>
      <c r="E10" s="4" t="s">
        <v>241</v>
      </c>
      <c r="F10" s="4" t="s">
        <v>459</v>
      </c>
      <c r="G10" s="4" t="s">
        <v>460</v>
      </c>
      <c r="H10" s="1"/>
      <c r="I10" s="1"/>
      <c r="J10" s="1"/>
    </row>
    <row r="11" spans="2:10" x14ac:dyDescent="0.25">
      <c r="B11" s="4" t="s">
        <v>8</v>
      </c>
      <c r="C11" s="4" t="s">
        <v>8</v>
      </c>
      <c r="D11" s="4" t="s">
        <v>456</v>
      </c>
      <c r="E11" s="4" t="s">
        <v>241</v>
      </c>
      <c r="F11" s="4" t="s">
        <v>459</v>
      </c>
      <c r="G11" s="4" t="s">
        <v>460</v>
      </c>
      <c r="H11" s="1"/>
      <c r="I11" s="1"/>
      <c r="J11" s="1"/>
    </row>
    <row r="12" spans="2:10" x14ac:dyDescent="0.25">
      <c r="B12" s="4" t="s">
        <v>244</v>
      </c>
      <c r="C12" s="4" t="s">
        <v>244</v>
      </c>
      <c r="D12" s="4" t="s">
        <v>456</v>
      </c>
      <c r="E12" s="4" t="s">
        <v>241</v>
      </c>
      <c r="F12" s="4" t="s">
        <v>459</v>
      </c>
      <c r="G12" s="4" t="s">
        <v>460</v>
      </c>
      <c r="H12" s="1"/>
      <c r="I12" s="1"/>
      <c r="J12" s="1"/>
    </row>
    <row r="13" spans="2:10" x14ac:dyDescent="0.25">
      <c r="B13" s="4" t="s">
        <v>245</v>
      </c>
      <c r="C13" s="4" t="s">
        <v>245</v>
      </c>
      <c r="D13" s="4" t="s">
        <v>456</v>
      </c>
      <c r="E13" s="4" t="s">
        <v>241</v>
      </c>
      <c r="F13" s="4" t="s">
        <v>459</v>
      </c>
      <c r="G13" s="4" t="s">
        <v>460</v>
      </c>
      <c r="H13" s="1"/>
      <c r="I13" s="1"/>
      <c r="J13" s="1"/>
    </row>
    <row r="14" spans="2:10" x14ac:dyDescent="0.25">
      <c r="B14" s="4" t="s">
        <v>247</v>
      </c>
      <c r="C14" s="4" t="s">
        <v>247</v>
      </c>
      <c r="D14" s="4" t="s">
        <v>456</v>
      </c>
      <c r="E14" s="4" t="s">
        <v>241</v>
      </c>
      <c r="F14" s="4" t="s">
        <v>459</v>
      </c>
      <c r="G14" s="4" t="s">
        <v>460</v>
      </c>
      <c r="H14" s="1"/>
      <c r="I14" s="1"/>
      <c r="J14" s="1"/>
    </row>
    <row r="15" spans="2:10" x14ac:dyDescent="0.25">
      <c r="B15" s="4" t="s">
        <v>249</v>
      </c>
      <c r="C15" s="4" t="s">
        <v>249</v>
      </c>
      <c r="D15" s="4" t="s">
        <v>456</v>
      </c>
      <c r="E15" s="4" t="s">
        <v>241</v>
      </c>
      <c r="F15" s="4" t="s">
        <v>459</v>
      </c>
      <c r="G15" s="4" t="s">
        <v>460</v>
      </c>
      <c r="H15" s="1"/>
      <c r="I15" s="1"/>
      <c r="J15" s="1"/>
    </row>
    <row r="16" spans="2:10" x14ac:dyDescent="0.25">
      <c r="B16" s="4" t="s">
        <v>14</v>
      </c>
      <c r="C16" s="4" t="s">
        <v>14</v>
      </c>
      <c r="D16" s="4" t="s">
        <v>456</v>
      </c>
      <c r="E16" s="4" t="s">
        <v>241</v>
      </c>
      <c r="F16" s="4" t="s">
        <v>459</v>
      </c>
      <c r="G16" s="4" t="s">
        <v>460</v>
      </c>
      <c r="H16" s="1"/>
      <c r="I16" s="1"/>
      <c r="J16" s="1"/>
    </row>
    <row r="17" spans="2:10" x14ac:dyDescent="0.25">
      <c r="B17" s="4" t="s">
        <v>253</v>
      </c>
      <c r="C17" s="4" t="s">
        <v>253</v>
      </c>
      <c r="D17" s="4" t="s">
        <v>456</v>
      </c>
      <c r="E17" s="4" t="s">
        <v>241</v>
      </c>
      <c r="F17" s="4" t="s">
        <v>459</v>
      </c>
      <c r="G17" s="4" t="s">
        <v>460</v>
      </c>
      <c r="H17" s="1"/>
      <c r="I17" s="1"/>
      <c r="J17" s="1"/>
    </row>
    <row r="18" spans="2:10" x14ac:dyDescent="0.25">
      <c r="B18" s="4" t="s">
        <v>254</v>
      </c>
      <c r="C18" s="4" t="s">
        <v>254</v>
      </c>
      <c r="D18" s="4" t="s">
        <v>456</v>
      </c>
      <c r="E18" s="4" t="s">
        <v>241</v>
      </c>
      <c r="F18" s="4" t="s">
        <v>459</v>
      </c>
      <c r="G18" s="4" t="s">
        <v>460</v>
      </c>
      <c r="H18" s="1"/>
      <c r="I18" s="1"/>
      <c r="J18" s="1"/>
    </row>
    <row r="19" spans="2:10" x14ac:dyDescent="0.25">
      <c r="B19" s="4" t="s">
        <v>19</v>
      </c>
      <c r="C19" s="4" t="s">
        <v>19</v>
      </c>
      <c r="D19" s="4" t="s">
        <v>456</v>
      </c>
      <c r="E19" s="4" t="s">
        <v>241</v>
      </c>
      <c r="F19" s="4" t="s">
        <v>459</v>
      </c>
      <c r="G19" s="4" t="s">
        <v>460</v>
      </c>
      <c r="H19" s="1"/>
      <c r="I19" s="1"/>
      <c r="J19" s="1"/>
    </row>
    <row r="20" spans="2:10" x14ac:dyDescent="0.25">
      <c r="B20" s="4" t="s">
        <v>260</v>
      </c>
      <c r="C20" s="4" t="s">
        <v>261</v>
      </c>
      <c r="D20" s="4" t="s">
        <v>456</v>
      </c>
      <c r="E20" s="4" t="s">
        <v>241</v>
      </c>
      <c r="F20" s="4" t="s">
        <v>459</v>
      </c>
      <c r="G20" s="4" t="s">
        <v>460</v>
      </c>
      <c r="H20" s="1"/>
      <c r="I20" s="1"/>
      <c r="J20" s="1"/>
    </row>
    <row r="21" spans="2:10" x14ac:dyDescent="0.25">
      <c r="B21" s="4" t="s">
        <v>28</v>
      </c>
      <c r="C21" s="4" t="s">
        <v>28</v>
      </c>
      <c r="D21" s="4" t="s">
        <v>456</v>
      </c>
      <c r="E21" s="4" t="s">
        <v>241</v>
      </c>
      <c r="F21" s="4" t="s">
        <v>459</v>
      </c>
      <c r="G21" s="4" t="s">
        <v>460</v>
      </c>
      <c r="H21" s="1"/>
      <c r="I21" s="1"/>
      <c r="J21" s="1"/>
    </row>
    <row r="24" spans="2:10" ht="15.75" x14ac:dyDescent="0.25">
      <c r="B24" s="38" t="s">
        <v>240</v>
      </c>
    </row>
    <row r="25" spans="2:10" x14ac:dyDescent="0.25">
      <c r="B25" s="17" t="s">
        <v>461</v>
      </c>
    </row>
    <row r="26" spans="2:10" x14ac:dyDescent="0.25">
      <c r="B26" s="4" t="s">
        <v>232</v>
      </c>
    </row>
    <row r="27" spans="2:10" x14ac:dyDescent="0.25">
      <c r="B27" s="4" t="s">
        <v>233</v>
      </c>
    </row>
    <row r="28" spans="2:10" x14ac:dyDescent="0.25">
      <c r="B28" s="4" t="s">
        <v>234</v>
      </c>
    </row>
    <row r="29" spans="2:10" x14ac:dyDescent="0.25">
      <c r="B29" s="4" t="s">
        <v>235</v>
      </c>
    </row>
    <row r="30" spans="2:10" x14ac:dyDescent="0.25">
      <c r="B30" s="4" t="s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0F1B-11B7-45FD-97D8-6CBF1BAF468B}">
  <dimension ref="B2:L35"/>
  <sheetViews>
    <sheetView workbookViewId="0">
      <selection activeCell="B17" sqref="B17"/>
    </sheetView>
  </sheetViews>
  <sheetFormatPr defaultRowHeight="15" x14ac:dyDescent="0.25"/>
  <cols>
    <col min="2" max="2" width="23.140625" bestFit="1" customWidth="1"/>
    <col min="3" max="3" width="22" customWidth="1"/>
    <col min="4" max="4" width="7.140625" bestFit="1" customWidth="1"/>
    <col min="5" max="5" width="16.5703125" bestFit="1" customWidth="1"/>
    <col min="6" max="7" width="12.7109375" bestFit="1" customWidth="1"/>
    <col min="8" max="8" width="23.140625" bestFit="1" customWidth="1"/>
    <col min="9" max="9" width="8.5703125" bestFit="1" customWidth="1"/>
    <col min="10" max="10" width="18.140625" bestFit="1" customWidth="1"/>
    <col min="11" max="11" width="10.85546875" bestFit="1" customWidth="1"/>
    <col min="12" max="12" width="13.7109375" bestFit="1" customWidth="1"/>
  </cols>
  <sheetData>
    <row r="2" spans="2:12" ht="18" x14ac:dyDescent="0.25">
      <c r="B2" s="6" t="s">
        <v>462</v>
      </c>
      <c r="C2" s="37"/>
      <c r="D2" s="3"/>
      <c r="E2" s="3"/>
      <c r="F2" s="3"/>
      <c r="G2" s="3"/>
      <c r="H2" s="3"/>
      <c r="I2" s="3"/>
      <c r="J2" s="3"/>
      <c r="K2" s="3"/>
      <c r="L2" s="3"/>
    </row>
    <row r="3" spans="2:12" x14ac:dyDescent="0.25">
      <c r="B3" s="8" t="s">
        <v>171</v>
      </c>
      <c r="C3" s="8" t="s">
        <v>173</v>
      </c>
      <c r="D3" s="8" t="s">
        <v>173</v>
      </c>
      <c r="E3" s="8" t="s">
        <v>123</v>
      </c>
      <c r="F3" s="8" t="s">
        <v>174</v>
      </c>
      <c r="G3" s="8" t="s">
        <v>175</v>
      </c>
      <c r="H3" s="8" t="s">
        <v>7</v>
      </c>
      <c r="I3" s="8" t="s">
        <v>194</v>
      </c>
      <c r="J3" s="8" t="s">
        <v>193</v>
      </c>
      <c r="K3" s="8" t="s">
        <v>14</v>
      </c>
      <c r="L3" s="8" t="s">
        <v>217</v>
      </c>
    </row>
    <row r="4" spans="2:12" x14ac:dyDescent="0.25">
      <c r="B4" s="3" t="s">
        <v>185</v>
      </c>
      <c r="C4" s="3" t="s">
        <v>172</v>
      </c>
      <c r="D4" s="3" t="s">
        <v>209</v>
      </c>
      <c r="E4" s="3" t="s">
        <v>195</v>
      </c>
      <c r="F4" s="3" t="s">
        <v>201</v>
      </c>
      <c r="G4" s="3" t="s">
        <v>201</v>
      </c>
      <c r="H4" s="3">
        <v>44659</v>
      </c>
      <c r="I4" s="3">
        <v>45276</v>
      </c>
      <c r="J4" s="54">
        <f>H4/I4</f>
        <v>0.98637247106634862</v>
      </c>
      <c r="K4" s="3">
        <f>'Balance Sheet'!C8</f>
        <v>316.39999999999998</v>
      </c>
      <c r="L4" s="3">
        <v>25.3</v>
      </c>
    </row>
    <row r="5" spans="2:12" x14ac:dyDescent="0.25">
      <c r="B5" s="3" t="s">
        <v>184</v>
      </c>
      <c r="C5" s="3" t="s">
        <v>172</v>
      </c>
      <c r="D5" s="3" t="s">
        <v>210</v>
      </c>
      <c r="E5" s="3" t="s">
        <v>196</v>
      </c>
      <c r="F5" s="3" t="s">
        <v>189</v>
      </c>
      <c r="G5" s="3" t="s">
        <v>204</v>
      </c>
      <c r="H5" s="3">
        <v>43910</v>
      </c>
      <c r="I5" s="3">
        <v>45276</v>
      </c>
      <c r="J5" s="54">
        <f t="shared" ref="J5:J13" si="0">H5/I5</f>
        <v>0.96982949023765352</v>
      </c>
      <c r="K5" s="3">
        <f>'Balance Sheet'!D8</f>
        <v>360.1</v>
      </c>
      <c r="L5" s="3">
        <v>24.9</v>
      </c>
    </row>
    <row r="6" spans="2:12" x14ac:dyDescent="0.25">
      <c r="B6" s="3" t="s">
        <v>183</v>
      </c>
      <c r="C6" s="3" t="s">
        <v>172</v>
      </c>
      <c r="D6" s="3" t="s">
        <v>211</v>
      </c>
      <c r="E6" s="3" t="s">
        <v>197</v>
      </c>
      <c r="F6" s="3" t="s">
        <v>189</v>
      </c>
      <c r="G6" s="3" t="s">
        <v>201</v>
      </c>
      <c r="H6" s="3">
        <v>53016</v>
      </c>
      <c r="I6" s="3">
        <v>54074</v>
      </c>
      <c r="J6" s="54">
        <f t="shared" si="0"/>
        <v>0.98043421977290379</v>
      </c>
      <c r="K6" s="3">
        <f>'Balance Sheet'!E8</f>
        <v>332.5</v>
      </c>
      <c r="L6" s="3">
        <v>25.6</v>
      </c>
    </row>
    <row r="7" spans="2:12" x14ac:dyDescent="0.25">
      <c r="B7" s="3" t="s">
        <v>182</v>
      </c>
      <c r="C7" s="3" t="s">
        <v>172</v>
      </c>
      <c r="D7" s="3" t="s">
        <v>211</v>
      </c>
      <c r="E7" s="3" t="s">
        <v>198</v>
      </c>
      <c r="F7" s="3" t="s">
        <v>189</v>
      </c>
      <c r="G7" s="3" t="s">
        <v>203</v>
      </c>
      <c r="H7" s="3">
        <v>53049</v>
      </c>
      <c r="I7" s="3">
        <v>54074</v>
      </c>
      <c r="J7" s="54">
        <f t="shared" si="0"/>
        <v>0.98104449458149945</v>
      </c>
      <c r="K7" s="3">
        <f>'Balance Sheet'!F8</f>
        <v>485</v>
      </c>
      <c r="L7" s="3">
        <v>25.5</v>
      </c>
    </row>
    <row r="8" spans="2:12" x14ac:dyDescent="0.25">
      <c r="B8" s="3" t="s">
        <v>181</v>
      </c>
      <c r="C8" s="3" t="s">
        <v>172</v>
      </c>
      <c r="D8" s="3" t="s">
        <v>212</v>
      </c>
      <c r="E8" s="3" t="s">
        <v>199</v>
      </c>
      <c r="F8" s="3" t="s">
        <v>203</v>
      </c>
      <c r="G8" s="3" t="s">
        <v>203</v>
      </c>
      <c r="H8" s="3">
        <v>52983</v>
      </c>
      <c r="I8" s="3">
        <v>54074</v>
      </c>
      <c r="J8" s="54">
        <f t="shared" si="0"/>
        <v>0.97982394496430814</v>
      </c>
      <c r="K8" s="3">
        <f>'Balance Sheet'!G8</f>
        <v>646.5</v>
      </c>
      <c r="L8" s="3">
        <v>26.6</v>
      </c>
    </row>
    <row r="9" spans="2:12" x14ac:dyDescent="0.25">
      <c r="B9" s="3" t="s">
        <v>180</v>
      </c>
      <c r="C9" s="3" t="s">
        <v>172</v>
      </c>
      <c r="D9" s="3" t="s">
        <v>213</v>
      </c>
      <c r="E9" s="3" t="s">
        <v>190</v>
      </c>
      <c r="F9" s="3" t="s">
        <v>202</v>
      </c>
      <c r="G9" s="3" t="s">
        <v>187</v>
      </c>
      <c r="H9" s="3">
        <v>53143</v>
      </c>
      <c r="I9" s="3">
        <v>54074</v>
      </c>
      <c r="J9" s="54">
        <f t="shared" si="0"/>
        <v>0.98278285312719604</v>
      </c>
      <c r="K9" s="3">
        <f>'Balance Sheet'!H8</f>
        <v>634.1</v>
      </c>
      <c r="L9" s="3">
        <v>26.6</v>
      </c>
    </row>
    <row r="10" spans="2:12" x14ac:dyDescent="0.25">
      <c r="B10" s="3" t="s">
        <v>179</v>
      </c>
      <c r="C10" s="3" t="s">
        <v>172</v>
      </c>
      <c r="D10" s="3" t="s">
        <v>214</v>
      </c>
      <c r="E10" s="3" t="s">
        <v>200</v>
      </c>
      <c r="F10" s="3" t="s">
        <v>189</v>
      </c>
      <c r="G10" s="3" t="s">
        <v>189</v>
      </c>
      <c r="H10" s="3">
        <v>0</v>
      </c>
      <c r="I10" s="3">
        <v>54074</v>
      </c>
      <c r="J10" s="54">
        <f t="shared" si="0"/>
        <v>0</v>
      </c>
      <c r="K10" s="3">
        <f>'Balance Sheet'!I8</f>
        <v>708.9</v>
      </c>
      <c r="L10" s="3">
        <v>26.8</v>
      </c>
    </row>
    <row r="11" spans="2:12" x14ac:dyDescent="0.25">
      <c r="B11" s="3" t="s">
        <v>176</v>
      </c>
      <c r="C11" s="3" t="s">
        <v>172</v>
      </c>
      <c r="D11" s="3" t="s">
        <v>212</v>
      </c>
      <c r="E11" s="3" t="s">
        <v>192</v>
      </c>
      <c r="F11" s="3" t="s">
        <v>188</v>
      </c>
      <c r="G11" s="3" t="s">
        <v>188</v>
      </c>
      <c r="H11" s="3">
        <v>53008</v>
      </c>
      <c r="I11" s="3">
        <v>54074</v>
      </c>
      <c r="J11" s="54">
        <f t="shared" si="0"/>
        <v>0.98028627436475946</v>
      </c>
      <c r="K11" s="3">
        <f>'Balance Sheet'!J8</f>
        <v>729.3</v>
      </c>
      <c r="L11" s="3">
        <v>27.7</v>
      </c>
    </row>
    <row r="12" spans="2:12" x14ac:dyDescent="0.25">
      <c r="B12" s="3" t="s">
        <v>177</v>
      </c>
      <c r="C12" s="3" t="s">
        <v>172</v>
      </c>
      <c r="D12" s="3" t="s">
        <v>191</v>
      </c>
      <c r="E12" s="3" t="s">
        <v>190</v>
      </c>
      <c r="F12" s="3" t="s">
        <v>189</v>
      </c>
      <c r="G12" s="3" t="s">
        <v>189</v>
      </c>
      <c r="H12" s="3">
        <v>53184</v>
      </c>
      <c r="I12" s="3">
        <v>54074</v>
      </c>
      <c r="J12" s="54">
        <f t="shared" si="0"/>
        <v>0.98354107334393603</v>
      </c>
      <c r="K12" s="3">
        <f>'Balance Sheet'!K8</f>
        <v>787.1</v>
      </c>
      <c r="L12" s="3">
        <v>27.2</v>
      </c>
    </row>
    <row r="13" spans="2:12" x14ac:dyDescent="0.25">
      <c r="B13" s="3" t="s">
        <v>178</v>
      </c>
      <c r="C13" s="3" t="s">
        <v>172</v>
      </c>
      <c r="D13" s="3" t="s">
        <v>214</v>
      </c>
      <c r="E13" s="3" t="s">
        <v>186</v>
      </c>
      <c r="F13" s="3" t="s">
        <v>187</v>
      </c>
      <c r="G13" s="3" t="s">
        <v>188</v>
      </c>
      <c r="H13" s="3">
        <v>60472</v>
      </c>
      <c r="I13" s="3">
        <v>61267</v>
      </c>
      <c r="J13" s="54">
        <f t="shared" si="0"/>
        <v>0.98702400966262427</v>
      </c>
      <c r="K13" s="3">
        <f>'Balance Sheet'!L8</f>
        <v>749.4</v>
      </c>
      <c r="L13" s="3">
        <v>25.6</v>
      </c>
    </row>
    <row r="17" spans="2:10" ht="15.75" x14ac:dyDescent="0.25">
      <c r="B17" s="38" t="s">
        <v>205</v>
      </c>
      <c r="C17" s="99"/>
      <c r="D17" s="1"/>
      <c r="E17" s="1"/>
      <c r="F17" s="1"/>
      <c r="G17" s="1"/>
      <c r="H17" s="1"/>
      <c r="I17" s="1"/>
      <c r="J17" s="1"/>
    </row>
    <row r="18" spans="2:10" x14ac:dyDescent="0.25">
      <c r="B18" s="7" t="s">
        <v>463</v>
      </c>
      <c r="C18" s="7" t="s">
        <v>206</v>
      </c>
      <c r="D18" s="7" t="s">
        <v>207</v>
      </c>
      <c r="E18" s="7" t="s">
        <v>225</v>
      </c>
      <c r="F18" s="7" t="s">
        <v>355</v>
      </c>
      <c r="G18" s="4"/>
      <c r="H18" s="1"/>
      <c r="I18" s="1"/>
      <c r="J18" s="1"/>
    </row>
    <row r="19" spans="2:10" x14ac:dyDescent="0.25">
      <c r="B19" s="4" t="s">
        <v>465</v>
      </c>
      <c r="C19" s="4" t="s">
        <v>464</v>
      </c>
      <c r="D19" s="4" t="s">
        <v>208</v>
      </c>
      <c r="E19" s="4" t="s">
        <v>469</v>
      </c>
      <c r="F19" s="7" t="s">
        <v>561</v>
      </c>
      <c r="G19" s="4"/>
      <c r="H19" s="1"/>
      <c r="I19" s="1"/>
      <c r="J19" s="1"/>
    </row>
    <row r="20" spans="2:10" x14ac:dyDescent="0.25">
      <c r="B20" s="4" t="s">
        <v>466</v>
      </c>
      <c r="C20" s="4" t="s">
        <v>215</v>
      </c>
      <c r="D20" s="4" t="s">
        <v>208</v>
      </c>
      <c r="E20" s="4" t="s">
        <v>468</v>
      </c>
      <c r="F20" s="7" t="s">
        <v>562</v>
      </c>
      <c r="G20" s="4"/>
      <c r="H20" s="1"/>
      <c r="I20" s="1"/>
      <c r="J20" s="1"/>
    </row>
    <row r="21" spans="2:10" x14ac:dyDescent="0.25">
      <c r="B21" s="4" t="s">
        <v>467</v>
      </c>
      <c r="C21" s="4" t="s">
        <v>216</v>
      </c>
      <c r="D21" s="4" t="s">
        <v>208</v>
      </c>
      <c r="E21" s="4" t="s">
        <v>470</v>
      </c>
      <c r="F21" s="7" t="s">
        <v>563</v>
      </c>
      <c r="G21" s="4"/>
      <c r="H21" s="1"/>
      <c r="I21" s="1"/>
      <c r="J21" s="1"/>
    </row>
    <row r="26" spans="2:10" x14ac:dyDescent="0.25">
      <c r="H26" s="67"/>
    </row>
    <row r="27" spans="2:10" x14ac:dyDescent="0.25">
      <c r="H27" s="67"/>
    </row>
    <row r="28" spans="2:10" x14ac:dyDescent="0.25">
      <c r="H28" s="67"/>
    </row>
    <row r="29" spans="2:10" x14ac:dyDescent="0.25">
      <c r="H29" s="67"/>
    </row>
    <row r="30" spans="2:10" x14ac:dyDescent="0.25">
      <c r="H30" s="67"/>
    </row>
    <row r="31" spans="2:10" x14ac:dyDescent="0.25">
      <c r="H31" s="67"/>
    </row>
    <row r="32" spans="2:10" x14ac:dyDescent="0.25">
      <c r="H32" s="67"/>
    </row>
    <row r="33" spans="8:8" x14ac:dyDescent="0.25">
      <c r="H33" s="67"/>
    </row>
    <row r="34" spans="8:8" x14ac:dyDescent="0.25">
      <c r="H34" s="67"/>
    </row>
    <row r="35" spans="8:8" x14ac:dyDescent="0.25">
      <c r="H35" s="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1DA3-FD3C-41B8-B7DC-556FEDE52B20}">
  <dimension ref="A1:T22"/>
  <sheetViews>
    <sheetView topLeftCell="D1" workbookViewId="0">
      <selection activeCell="S3" sqref="S3"/>
    </sheetView>
  </sheetViews>
  <sheetFormatPr defaultColWidth="9" defaultRowHeight="14.25" x14ac:dyDescent="0.2"/>
  <cols>
    <col min="1" max="1" width="9" style="1"/>
    <col min="2" max="2" width="18" style="4" bestFit="1" customWidth="1"/>
    <col min="3" max="3" width="17.28515625" style="4" bestFit="1" customWidth="1"/>
    <col min="4" max="4" width="13.42578125" style="4" bestFit="1" customWidth="1"/>
    <col min="5" max="5" width="11.42578125" style="4" bestFit="1" customWidth="1"/>
    <col min="6" max="6" width="21.5703125" style="4" bestFit="1" customWidth="1"/>
    <col min="7" max="7" width="14.140625" style="4" bestFit="1" customWidth="1"/>
    <col min="8" max="8" width="15.140625" style="4" bestFit="1" customWidth="1"/>
    <col min="9" max="9" width="9.140625" style="4" bestFit="1" customWidth="1"/>
    <col min="10" max="10" width="15.28515625" style="4" bestFit="1" customWidth="1"/>
    <col min="11" max="11" width="9" style="4"/>
    <col min="12" max="12" width="13.42578125" style="4" bestFit="1" customWidth="1"/>
    <col min="13" max="13" width="11.85546875" style="4" bestFit="1" customWidth="1"/>
    <col min="14" max="14" width="7.28515625" style="4" bestFit="1" customWidth="1"/>
    <col min="15" max="15" width="16.140625" style="4" bestFit="1" customWidth="1"/>
    <col min="16" max="16" width="9" style="4"/>
    <col min="17" max="17" width="15.5703125" style="4" bestFit="1" customWidth="1"/>
    <col min="18" max="18" width="16.42578125" style="4" bestFit="1" customWidth="1"/>
    <col min="19" max="19" width="14.7109375" style="4" bestFit="1" customWidth="1"/>
    <col min="20" max="16384" width="9" style="4"/>
  </cols>
  <sheetData>
    <row r="1" spans="2:20" s="1" customFormat="1" x14ac:dyDescent="0.2"/>
    <row r="2" spans="2:20" s="1" customFormat="1" ht="18" x14ac:dyDescent="0.25">
      <c r="B2" s="6" t="s">
        <v>372</v>
      </c>
    </row>
    <row r="3" spans="2:20" s="1" customFormat="1" x14ac:dyDescent="0.2">
      <c r="B3" s="8" t="s">
        <v>52</v>
      </c>
      <c r="C3" s="8" t="s">
        <v>53</v>
      </c>
      <c r="D3" s="8" t="s">
        <v>56</v>
      </c>
      <c r="E3" s="8" t="s">
        <v>55</v>
      </c>
      <c r="F3" s="8" t="s">
        <v>54</v>
      </c>
      <c r="G3" s="8" t="s">
        <v>55</v>
      </c>
      <c r="H3" s="8" t="s">
        <v>60</v>
      </c>
      <c r="I3" s="8" t="s">
        <v>57</v>
      </c>
      <c r="J3" s="8" t="s">
        <v>59</v>
      </c>
      <c r="K3" s="8"/>
      <c r="L3" s="8" t="s">
        <v>90</v>
      </c>
      <c r="M3" s="8" t="s">
        <v>58</v>
      </c>
      <c r="N3" s="8" t="s">
        <v>91</v>
      </c>
      <c r="O3" s="8" t="s">
        <v>93</v>
      </c>
      <c r="P3" s="8"/>
      <c r="Q3" s="8" t="s">
        <v>61</v>
      </c>
      <c r="R3" s="8" t="s">
        <v>62</v>
      </c>
      <c r="S3" s="8" t="s">
        <v>63</v>
      </c>
    </row>
    <row r="4" spans="2:20" ht="25.5" x14ac:dyDescent="0.2">
      <c r="B4" s="3">
        <v>1992</v>
      </c>
      <c r="C4" s="79" t="s">
        <v>64</v>
      </c>
      <c r="D4" s="79" t="s">
        <v>67</v>
      </c>
      <c r="E4" s="79" t="s">
        <v>66</v>
      </c>
      <c r="F4" s="79" t="s">
        <v>65</v>
      </c>
      <c r="G4" s="79" t="s">
        <v>65</v>
      </c>
      <c r="H4" s="80">
        <v>12</v>
      </c>
      <c r="I4" s="81">
        <v>0.3</v>
      </c>
      <c r="J4" s="82">
        <f t="shared" ref="J4:J7" si="0">H4/I4</f>
        <v>40</v>
      </c>
      <c r="K4" s="80"/>
      <c r="L4" s="80"/>
      <c r="M4" s="80" t="e">
        <f>J4/L4</f>
        <v>#DIV/0!</v>
      </c>
      <c r="N4" s="80"/>
      <c r="O4" s="80" t="e">
        <f>J4/N4</f>
        <v>#DIV/0!</v>
      </c>
      <c r="P4" s="3"/>
      <c r="Q4" s="83" t="s">
        <v>69</v>
      </c>
      <c r="R4" s="83" t="s">
        <v>373</v>
      </c>
      <c r="S4" s="79" t="s">
        <v>68</v>
      </c>
    </row>
    <row r="5" spans="2:20" ht="25.5" x14ac:dyDescent="0.2">
      <c r="B5" s="3">
        <v>2007</v>
      </c>
      <c r="C5" s="79" t="s">
        <v>81</v>
      </c>
      <c r="D5" s="75" t="s">
        <v>70</v>
      </c>
      <c r="E5" s="79"/>
      <c r="F5" s="75" t="s">
        <v>71</v>
      </c>
      <c r="G5" s="79"/>
      <c r="H5" s="76">
        <v>218.9</v>
      </c>
      <c r="I5" s="81">
        <v>1</v>
      </c>
      <c r="J5" s="82">
        <f t="shared" si="0"/>
        <v>218.9</v>
      </c>
      <c r="K5" s="80"/>
      <c r="L5" s="80"/>
      <c r="M5" s="80" t="e">
        <f t="shared" ref="M5:M7" si="1">J5/L5</f>
        <v>#DIV/0!</v>
      </c>
      <c r="N5" s="80"/>
      <c r="O5" s="80" t="e">
        <f t="shared" ref="O5:O9" si="2">J5/N5</f>
        <v>#DIV/0!</v>
      </c>
      <c r="P5" s="3"/>
      <c r="Q5" s="83" t="s">
        <v>72</v>
      </c>
      <c r="R5" s="83" t="s">
        <v>73</v>
      </c>
      <c r="S5" s="79" t="s">
        <v>82</v>
      </c>
    </row>
    <row r="6" spans="2:20" ht="25.5" x14ac:dyDescent="0.2">
      <c r="B6" s="3">
        <v>2010</v>
      </c>
      <c r="C6" s="79" t="s">
        <v>81</v>
      </c>
      <c r="D6" s="75" t="s">
        <v>74</v>
      </c>
      <c r="E6" s="79"/>
      <c r="F6" s="75" t="s">
        <v>75</v>
      </c>
      <c r="G6" s="79" t="s">
        <v>83</v>
      </c>
      <c r="H6" s="80">
        <v>300</v>
      </c>
      <c r="I6" s="81">
        <v>1</v>
      </c>
      <c r="J6" s="82">
        <f t="shared" si="0"/>
        <v>300</v>
      </c>
      <c r="K6" s="80"/>
      <c r="L6" s="80"/>
      <c r="M6" s="80" t="e">
        <f t="shared" si="1"/>
        <v>#DIV/0!</v>
      </c>
      <c r="N6" s="80"/>
      <c r="O6" s="80" t="e">
        <f t="shared" si="2"/>
        <v>#DIV/0!</v>
      </c>
      <c r="P6" s="3"/>
      <c r="Q6" s="3" t="s">
        <v>84</v>
      </c>
      <c r="R6" s="3" t="s">
        <v>97</v>
      </c>
      <c r="S6" s="79" t="s">
        <v>85</v>
      </c>
    </row>
    <row r="7" spans="2:20" ht="25.5" x14ac:dyDescent="0.2">
      <c r="B7" s="3">
        <v>2011</v>
      </c>
      <c r="C7" s="79" t="s">
        <v>87</v>
      </c>
      <c r="D7" s="75" t="s">
        <v>75</v>
      </c>
      <c r="E7" s="79" t="s">
        <v>83</v>
      </c>
      <c r="F7" s="79" t="s">
        <v>86</v>
      </c>
      <c r="G7" s="79"/>
      <c r="H7" s="80">
        <v>4</v>
      </c>
      <c r="I7" s="81">
        <v>0.02</v>
      </c>
      <c r="J7" s="82">
        <f t="shared" si="0"/>
        <v>200</v>
      </c>
      <c r="K7" s="80"/>
      <c r="L7" s="80"/>
      <c r="M7" s="80" t="e">
        <f t="shared" si="1"/>
        <v>#DIV/0!</v>
      </c>
      <c r="N7" s="80"/>
      <c r="O7" s="80" t="e">
        <f t="shared" si="2"/>
        <v>#DIV/0!</v>
      </c>
      <c r="P7" s="3"/>
      <c r="Q7" s="3"/>
      <c r="R7" s="3"/>
      <c r="S7" s="75" t="s">
        <v>76</v>
      </c>
    </row>
    <row r="8" spans="2:20" ht="25.5" x14ac:dyDescent="0.2">
      <c r="B8" s="3">
        <v>2021</v>
      </c>
      <c r="C8" s="79" t="s">
        <v>87</v>
      </c>
      <c r="D8" s="75" t="s">
        <v>75</v>
      </c>
      <c r="E8" s="79" t="s">
        <v>83</v>
      </c>
      <c r="F8" s="79" t="s">
        <v>88</v>
      </c>
      <c r="G8" s="79" t="s">
        <v>560</v>
      </c>
      <c r="H8" s="80">
        <v>533</v>
      </c>
      <c r="I8" s="81">
        <v>0.11</v>
      </c>
      <c r="J8" s="82">
        <f>H8/I8</f>
        <v>4845.454545454545</v>
      </c>
      <c r="K8" s="80"/>
      <c r="L8" s="80">
        <f>'Income Statement'!I7</f>
        <v>487.30000000000007</v>
      </c>
      <c r="M8" s="80">
        <f>J8/L8</f>
        <v>9.9434733130608333</v>
      </c>
      <c r="N8" s="80">
        <f>'Income Statement'!I14</f>
        <v>77.10000000000008</v>
      </c>
      <c r="O8" s="80">
        <f t="shared" si="2"/>
        <v>62.846362457257328</v>
      </c>
      <c r="P8" s="3"/>
      <c r="Q8" s="3" t="s">
        <v>77</v>
      </c>
      <c r="R8" s="83" t="s">
        <v>78</v>
      </c>
      <c r="S8" s="79" t="s">
        <v>89</v>
      </c>
    </row>
    <row r="9" spans="2:20" ht="25.5" x14ac:dyDescent="0.2">
      <c r="B9" s="3">
        <v>2023</v>
      </c>
      <c r="C9" s="79" t="s">
        <v>87</v>
      </c>
      <c r="D9" s="75" t="s">
        <v>75</v>
      </c>
      <c r="E9" s="79" t="s">
        <v>83</v>
      </c>
      <c r="F9" s="75" t="s">
        <v>79</v>
      </c>
      <c r="G9" s="79"/>
      <c r="H9" s="76">
        <v>147</v>
      </c>
      <c r="I9" s="78">
        <v>2.8500000000000001E-2</v>
      </c>
      <c r="J9" s="82">
        <f>H9/I9</f>
        <v>5157.894736842105</v>
      </c>
      <c r="K9" s="80"/>
      <c r="L9" s="80">
        <f>'Income Statement'!K7</f>
        <v>593.9</v>
      </c>
      <c r="M9" s="80">
        <f>J9/L9</f>
        <v>8.6847865580772936</v>
      </c>
      <c r="N9" s="80">
        <f>'Income Statement'!K14</f>
        <v>83.800000000000011</v>
      </c>
      <c r="O9" s="80">
        <f t="shared" si="2"/>
        <v>61.550056525562105</v>
      </c>
      <c r="P9" s="3"/>
      <c r="Q9" s="83" t="s">
        <v>80</v>
      </c>
      <c r="R9" s="83" t="s">
        <v>78</v>
      </c>
      <c r="S9" s="75" t="s">
        <v>92</v>
      </c>
    </row>
    <row r="10" spans="2:20" x14ac:dyDescent="0.2">
      <c r="I10" s="77"/>
    </row>
    <row r="16" spans="2:20" ht="15" x14ac:dyDescent="0.2">
      <c r="I16" s="10"/>
      <c r="J16" s="12"/>
      <c r="K16" s="12"/>
      <c r="L16" s="12"/>
      <c r="M16" s="14"/>
      <c r="N16" s="10"/>
      <c r="O16" s="14"/>
      <c r="P16" s="14"/>
      <c r="Q16" s="14"/>
      <c r="R16" s="12"/>
      <c r="S16" s="12"/>
      <c r="T16" s="10"/>
    </row>
    <row r="17" spans="9:20" ht="15" x14ac:dyDescent="0.2">
      <c r="I17" s="10"/>
      <c r="J17" s="11"/>
      <c r="K17" s="11"/>
      <c r="L17" s="11"/>
      <c r="M17" s="13"/>
      <c r="N17" s="9"/>
      <c r="O17" s="13"/>
      <c r="P17" s="13"/>
      <c r="Q17" s="13"/>
      <c r="R17" s="11"/>
      <c r="S17" s="11"/>
      <c r="T17" s="15"/>
    </row>
    <row r="18" spans="9:20" ht="15" x14ac:dyDescent="0.2">
      <c r="I18" s="10"/>
      <c r="J18" s="11"/>
      <c r="K18" s="11"/>
      <c r="L18" s="11"/>
      <c r="M18" s="13"/>
      <c r="N18" s="16"/>
      <c r="O18" s="13"/>
      <c r="P18" s="13"/>
      <c r="Q18" s="13"/>
      <c r="R18" s="11"/>
      <c r="S18" s="11"/>
      <c r="T18" s="15"/>
    </row>
    <row r="19" spans="9:20" ht="15" x14ac:dyDescent="0.2">
      <c r="I19" s="10"/>
      <c r="J19" s="11"/>
      <c r="K19" s="11"/>
      <c r="L19" s="11"/>
      <c r="M19" s="13"/>
      <c r="N19" s="16"/>
      <c r="O19" s="13"/>
      <c r="P19" s="13"/>
      <c r="Q19" s="13"/>
      <c r="R19" s="11"/>
      <c r="S19" s="11"/>
      <c r="T19" s="15"/>
    </row>
    <row r="20" spans="9:20" ht="15" x14ac:dyDescent="0.2">
      <c r="I20" s="10"/>
      <c r="J20" s="11"/>
      <c r="K20" s="11"/>
      <c r="L20" s="11"/>
      <c r="M20" s="13"/>
      <c r="N20" s="16"/>
      <c r="O20" s="13"/>
      <c r="P20" s="13"/>
      <c r="Q20" s="13"/>
      <c r="R20" s="11"/>
      <c r="S20" s="11"/>
      <c r="T20" s="9"/>
    </row>
    <row r="21" spans="9:20" ht="15" x14ac:dyDescent="0.2">
      <c r="I21" s="10"/>
      <c r="J21" s="11"/>
      <c r="K21" s="11"/>
      <c r="L21" s="11"/>
      <c r="M21" s="13"/>
      <c r="N21" s="16"/>
      <c r="O21" s="14"/>
      <c r="P21" s="13"/>
      <c r="Q21" s="14"/>
      <c r="R21" s="11"/>
      <c r="S21" s="11"/>
      <c r="T21" s="15"/>
    </row>
    <row r="22" spans="9:20" ht="15" x14ac:dyDescent="0.2">
      <c r="I22" s="10"/>
      <c r="J22" s="11"/>
      <c r="K22" s="11"/>
      <c r="L22" s="11"/>
      <c r="M22" s="13"/>
      <c r="N22" s="9"/>
      <c r="O22" s="14"/>
      <c r="P22" s="13"/>
      <c r="Q22" s="14"/>
      <c r="R22" s="11"/>
      <c r="S22" s="11"/>
      <c r="T22" s="9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3478-FC04-45A8-A59A-B8C26921E5F1}">
  <dimension ref="A2:S39"/>
  <sheetViews>
    <sheetView topLeftCell="B1" workbookViewId="0">
      <selection activeCell="N23" sqref="N23"/>
    </sheetView>
  </sheetViews>
  <sheetFormatPr defaultRowHeight="15" x14ac:dyDescent="0.25"/>
  <cols>
    <col min="2" max="2" width="33.5703125" bestFit="1" customWidth="1"/>
    <col min="3" max="3" width="29.28515625" bestFit="1" customWidth="1"/>
    <col min="4" max="4" width="18.28515625" bestFit="1" customWidth="1"/>
    <col min="5" max="5" width="18.140625" bestFit="1" customWidth="1"/>
    <col min="6" max="7" width="20.5703125" bestFit="1" customWidth="1"/>
    <col min="8" max="8" width="8.28515625" customWidth="1"/>
    <col min="9" max="9" width="23.140625" bestFit="1" customWidth="1"/>
    <col min="10" max="10" width="5.5703125" bestFit="1" customWidth="1"/>
    <col min="11" max="14" width="9.28515625" bestFit="1" customWidth="1"/>
    <col min="15" max="16" width="5.5703125" bestFit="1" customWidth="1"/>
    <col min="17" max="19" width="9.28515625" bestFit="1" customWidth="1"/>
  </cols>
  <sheetData>
    <row r="2" spans="1:19" s="1" customFormat="1" ht="18" x14ac:dyDescent="0.25">
      <c r="A2"/>
      <c r="B2" s="6" t="s">
        <v>337</v>
      </c>
      <c r="I2" s="38" t="s">
        <v>338</v>
      </c>
    </row>
    <row r="3" spans="1:19" s="1" customFormat="1" ht="15.75" x14ac:dyDescent="0.25">
      <c r="A3"/>
      <c r="B3" s="102" t="s">
        <v>349</v>
      </c>
      <c r="C3" s="50"/>
      <c r="D3" s="50"/>
      <c r="E3" s="50"/>
      <c r="F3" s="50"/>
      <c r="G3" s="50"/>
      <c r="H3" s="3"/>
      <c r="I3" s="8" t="s">
        <v>339</v>
      </c>
      <c r="J3" s="8">
        <v>2015</v>
      </c>
      <c r="K3" s="8">
        <v>2016</v>
      </c>
      <c r="L3" s="8">
        <v>2017</v>
      </c>
      <c r="M3" s="8">
        <v>2018</v>
      </c>
      <c r="N3" s="8">
        <v>2019</v>
      </c>
      <c r="O3" s="8">
        <v>2020</v>
      </c>
      <c r="P3" s="8">
        <v>2021</v>
      </c>
      <c r="Q3" s="8">
        <v>2022</v>
      </c>
      <c r="R3" s="8">
        <v>2023</v>
      </c>
      <c r="S3" s="8">
        <v>2024</v>
      </c>
    </row>
    <row r="4" spans="1:19" s="1" customFormat="1" x14ac:dyDescent="0.25">
      <c r="A4"/>
      <c r="B4" s="8" t="s">
        <v>100</v>
      </c>
      <c r="C4" s="8" t="s">
        <v>363</v>
      </c>
      <c r="D4" s="8" t="s">
        <v>365</v>
      </c>
      <c r="E4" s="8" t="s">
        <v>296</v>
      </c>
      <c r="F4" s="8" t="s">
        <v>368</v>
      </c>
      <c r="G4" s="8" t="s">
        <v>369</v>
      </c>
      <c r="H4" s="3"/>
      <c r="I4" s="3" t="s">
        <v>343</v>
      </c>
      <c r="J4" s="3">
        <v>982</v>
      </c>
      <c r="K4" s="3">
        <v>1548</v>
      </c>
      <c r="L4" s="3">
        <v>1492</v>
      </c>
      <c r="M4" s="3">
        <v>1944</v>
      </c>
      <c r="N4" s="3">
        <v>2183</v>
      </c>
      <c r="O4" s="3"/>
      <c r="P4" s="3">
        <v>4100</v>
      </c>
      <c r="Q4" s="3">
        <v>4450</v>
      </c>
      <c r="R4" s="3">
        <v>5288</v>
      </c>
      <c r="S4" s="3">
        <v>5370</v>
      </c>
    </row>
    <row r="5" spans="1:19" s="1" customFormat="1" x14ac:dyDescent="0.25">
      <c r="A5"/>
      <c r="B5" s="3">
        <f>'Income Statement'!L7</f>
        <v>613.79999999999995</v>
      </c>
      <c r="C5" s="3" t="s">
        <v>364</v>
      </c>
      <c r="D5" s="3">
        <v>6</v>
      </c>
      <c r="E5" s="3">
        <f>D5*B5</f>
        <v>3682.7999999999997</v>
      </c>
      <c r="F5" s="3">
        <f>E5*0.12</f>
        <v>441.93599999999998</v>
      </c>
      <c r="G5" s="3">
        <f>E5*1.5</f>
        <v>5524.2</v>
      </c>
      <c r="H5" s="3"/>
      <c r="I5" s="3" t="s">
        <v>345</v>
      </c>
      <c r="J5" s="3"/>
      <c r="K5" s="3"/>
      <c r="L5" s="3"/>
      <c r="M5" s="3"/>
      <c r="N5" s="3"/>
      <c r="O5" s="3"/>
      <c r="P5" s="3"/>
      <c r="Q5" s="3"/>
      <c r="R5" s="3">
        <v>4710</v>
      </c>
      <c r="S5" s="3">
        <v>5110</v>
      </c>
    </row>
    <row r="6" spans="1:19" s="1" customFormat="1" x14ac:dyDescent="0.25">
      <c r="A6"/>
      <c r="B6" s="3"/>
      <c r="C6" s="3"/>
      <c r="D6" s="3"/>
      <c r="E6" s="3"/>
      <c r="F6" s="3"/>
      <c r="G6" s="3"/>
      <c r="H6" s="3"/>
      <c r="I6" s="3" t="s">
        <v>344</v>
      </c>
      <c r="J6" s="3"/>
      <c r="K6" s="3"/>
      <c r="L6" s="3"/>
      <c r="M6" s="3"/>
      <c r="N6" s="3"/>
      <c r="O6" s="3"/>
      <c r="P6" s="3"/>
      <c r="Q6" s="3"/>
      <c r="R6" s="3"/>
      <c r="S6" s="3">
        <v>3540</v>
      </c>
    </row>
    <row r="7" spans="1:19" s="1" customFormat="1" ht="15.75" x14ac:dyDescent="0.25">
      <c r="A7"/>
      <c r="B7" s="102" t="s">
        <v>350</v>
      </c>
      <c r="C7" s="50"/>
      <c r="D7" s="50"/>
      <c r="E7" s="50"/>
      <c r="F7" s="50"/>
      <c r="G7" s="5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s="1" customFormat="1" x14ac:dyDescent="0.25">
      <c r="A8"/>
      <c r="B8" s="8" t="s">
        <v>4</v>
      </c>
      <c r="C8" s="8" t="s">
        <v>363</v>
      </c>
      <c r="D8" s="8" t="s">
        <v>362</v>
      </c>
      <c r="E8" s="8" t="s">
        <v>296</v>
      </c>
      <c r="F8" s="8" t="s">
        <v>370</v>
      </c>
      <c r="G8" s="8" t="s">
        <v>371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s="1" customFormat="1" x14ac:dyDescent="0.25">
      <c r="A9"/>
      <c r="B9" s="3">
        <f>'Income Statement'!L14</f>
        <v>60.599999999999909</v>
      </c>
      <c r="C9" s="3" t="s">
        <v>364</v>
      </c>
      <c r="D9" s="3">
        <v>34.5</v>
      </c>
      <c r="E9" s="3">
        <f>B9*D9</f>
        <v>2090.6999999999971</v>
      </c>
      <c r="F9" s="3">
        <f>E9*1.2</f>
        <v>2508.8399999999965</v>
      </c>
      <c r="G9" s="3">
        <f>E9*1.5</f>
        <v>3136.0499999999956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1" customFormat="1" x14ac:dyDescent="0.25">
      <c r="A10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s="1" customFormat="1" ht="15.75" x14ac:dyDescent="0.25">
      <c r="A11"/>
      <c r="B11" s="102" t="s">
        <v>351</v>
      </c>
      <c r="C11" s="50"/>
      <c r="D11" s="50"/>
      <c r="E11" s="50"/>
      <c r="F11" s="50"/>
      <c r="G11" s="5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s="1" customFormat="1" x14ac:dyDescent="0.25">
      <c r="A12"/>
      <c r="B12" s="3"/>
      <c r="C12" s="3"/>
      <c r="D12" s="3"/>
      <c r="E12" s="8" t="s">
        <v>296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s="1" customFormat="1" x14ac:dyDescent="0.25">
      <c r="A13"/>
      <c r="B13" s="3"/>
      <c r="C13" s="3"/>
      <c r="D13" s="3"/>
      <c r="E13" s="3">
        <v>2250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s="1" customFormat="1" x14ac:dyDescent="0.25">
      <c r="A1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s="1" customFormat="1" ht="15.75" x14ac:dyDescent="0.25">
      <c r="A15"/>
      <c r="B15" s="102" t="s">
        <v>352</v>
      </c>
      <c r="C15" s="50"/>
      <c r="D15" s="50"/>
      <c r="E15" s="50"/>
      <c r="F15" s="50"/>
      <c r="G15" s="5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s="1" customFormat="1" x14ac:dyDescent="0.25">
      <c r="A16"/>
      <c r="B16" s="8" t="s">
        <v>356</v>
      </c>
      <c r="C16" s="8" t="s">
        <v>357</v>
      </c>
      <c r="D16" s="8" t="s">
        <v>193</v>
      </c>
      <c r="E16" s="8" t="s">
        <v>244</v>
      </c>
      <c r="F16" s="8" t="s">
        <v>358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s="1" customFormat="1" x14ac:dyDescent="0.25">
      <c r="A17"/>
      <c r="B17" s="3">
        <f>'Income Statement'!L7+'Balance Sheet'!Q11</f>
        <v>808.8</v>
      </c>
      <c r="C17" s="54">
        <f>('Income Statement'!L31+'Income Statement'!L7)/'Income Statement'!L7</f>
        <v>0.92929292929292917</v>
      </c>
      <c r="D17" s="74">
        <f>'On The Pitch'!J13</f>
        <v>0.98702400966262427</v>
      </c>
      <c r="E17" s="74">
        <f>'Income Statement'!L35</f>
        <v>0.62903225806451624</v>
      </c>
      <c r="F17" s="3">
        <f>(B17*C17*D17)/E17</f>
        <v>1179.3659229376594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s="1" customFormat="1" x14ac:dyDescent="0.25">
      <c r="A1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s="1" customFormat="1" x14ac:dyDescent="0.25">
      <c r="A1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s="1" customFormat="1" x14ac:dyDescent="0.25">
      <c r="A2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s="1" customFormat="1" ht="15.75" x14ac:dyDescent="0.25">
      <c r="A21"/>
      <c r="B21" s="102" t="s">
        <v>340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3"/>
      <c r="N21" s="3"/>
      <c r="O21" s="3"/>
      <c r="P21" s="3"/>
      <c r="Q21" s="3"/>
      <c r="R21" s="3"/>
      <c r="S21" s="3"/>
    </row>
    <row r="22" spans="1:19" s="1" customFormat="1" x14ac:dyDescent="0.25">
      <c r="A22"/>
      <c r="B22" s="1" t="s">
        <v>52</v>
      </c>
      <c r="C22" s="8" t="s">
        <v>29</v>
      </c>
      <c r="D22" s="8" t="s">
        <v>341</v>
      </c>
      <c r="E22" s="8" t="s">
        <v>351</v>
      </c>
      <c r="F22" s="8" t="s">
        <v>342</v>
      </c>
      <c r="G22" s="8" t="s">
        <v>343</v>
      </c>
      <c r="H22" s="8" t="s">
        <v>344</v>
      </c>
      <c r="I22" s="8" t="s">
        <v>345</v>
      </c>
      <c r="J22" s="3"/>
      <c r="K22" s="3" t="s">
        <v>346</v>
      </c>
      <c r="L22" s="3" t="s">
        <v>347</v>
      </c>
      <c r="M22" s="3" t="s">
        <v>375</v>
      </c>
      <c r="N22" s="3" t="s">
        <v>348</v>
      </c>
      <c r="O22" s="3"/>
      <c r="P22" s="3"/>
      <c r="Q22" s="3"/>
      <c r="R22" s="3"/>
      <c r="S22" s="3"/>
    </row>
    <row r="23" spans="1:19" s="1" customFormat="1" x14ac:dyDescent="0.25">
      <c r="A23"/>
      <c r="B23" s="1">
        <v>2024</v>
      </c>
      <c r="C23" s="3">
        <f>E5</f>
        <v>3682.7999999999997</v>
      </c>
      <c r="D23" s="3">
        <f>E9</f>
        <v>2090.6999999999971</v>
      </c>
      <c r="E23" s="1">
        <f>$E$13</f>
        <v>2250</v>
      </c>
      <c r="F23" s="3">
        <f>F17</f>
        <v>1179.3659229376594</v>
      </c>
      <c r="G23" s="3">
        <f>S4</f>
        <v>5370</v>
      </c>
      <c r="H23" s="3">
        <f>S6</f>
        <v>3540</v>
      </c>
      <c r="I23" s="3">
        <f>S5</f>
        <v>5110</v>
      </c>
      <c r="J23" s="3"/>
      <c r="K23" s="3">
        <f>MIN(C23:I23)</f>
        <v>1179.3659229376594</v>
      </c>
      <c r="L23" s="3">
        <f>MAX(C23:I23)</f>
        <v>5370</v>
      </c>
      <c r="M23" s="73">
        <f>AVERAGE(C23:I23)</f>
        <v>3317.5522747053797</v>
      </c>
      <c r="N23" s="3"/>
      <c r="O23" s="3"/>
      <c r="P23" s="3"/>
      <c r="Q23" s="3"/>
      <c r="R23" s="3"/>
      <c r="S23" s="3"/>
    </row>
    <row r="24" spans="1:19" s="1" customFormat="1" x14ac:dyDescent="0.25">
      <c r="A24"/>
      <c r="B24" s="3">
        <v>2023</v>
      </c>
      <c r="C24" s="3">
        <f>('Income Statement'!K7)*$D$5</f>
        <v>3563.3999999999996</v>
      </c>
      <c r="D24" s="3">
        <f>('Income Statement'!K14)*$D$9</f>
        <v>2891.1000000000004</v>
      </c>
      <c r="E24" s="1">
        <f t="shared" ref="E24:E32" si="0">$E$13</f>
        <v>2250</v>
      </c>
      <c r="F24" s="3"/>
      <c r="G24" s="3">
        <f>R4</f>
        <v>5288</v>
      </c>
      <c r="H24" s="3"/>
      <c r="I24" s="3"/>
      <c r="J24" s="3"/>
      <c r="K24" s="3"/>
      <c r="L24" s="3"/>
      <c r="M24" s="73">
        <f t="shared" ref="M24:M32" si="1">AVERAGE(C24:I24)</f>
        <v>3498.125</v>
      </c>
      <c r="N24" s="3"/>
      <c r="O24" s="3"/>
      <c r="P24" s="3"/>
      <c r="Q24" s="3"/>
      <c r="R24" s="3"/>
      <c r="S24" s="3"/>
    </row>
    <row r="25" spans="1:19" s="1" customFormat="1" x14ac:dyDescent="0.25">
      <c r="A25"/>
      <c r="B25" s="3">
        <v>2022</v>
      </c>
      <c r="C25" s="3">
        <f>('Income Statement'!J7)*$D$5</f>
        <v>3565.7999999999997</v>
      </c>
      <c r="D25" s="3">
        <f>('Income Statement'!J14)*$D$9</f>
        <v>3325.7999999999975</v>
      </c>
      <c r="E25" s="1">
        <f t="shared" si="0"/>
        <v>2250</v>
      </c>
      <c r="F25" s="3"/>
      <c r="G25" s="3">
        <f>Q4</f>
        <v>4450</v>
      </c>
      <c r="H25" s="3"/>
      <c r="I25" s="3"/>
      <c r="J25" s="3"/>
      <c r="K25" s="3"/>
      <c r="L25" s="3"/>
      <c r="M25" s="73">
        <f t="shared" si="1"/>
        <v>3397.8999999999992</v>
      </c>
      <c r="N25" s="3"/>
      <c r="O25" s="3"/>
      <c r="P25" s="3"/>
      <c r="Q25" s="3"/>
      <c r="R25" s="3"/>
      <c r="S25" s="3"/>
    </row>
    <row r="26" spans="1:19" s="1" customFormat="1" x14ac:dyDescent="0.25">
      <c r="A26"/>
      <c r="B26" s="3">
        <v>2021</v>
      </c>
      <c r="C26" s="3">
        <f>('Income Statement'!I7)*$D$5</f>
        <v>2923.8</v>
      </c>
      <c r="D26" s="3">
        <f>('Income Statement'!I14)*$D$9</f>
        <v>2659.9500000000025</v>
      </c>
      <c r="E26" s="1">
        <f t="shared" si="0"/>
        <v>2250</v>
      </c>
      <c r="F26" s="3"/>
      <c r="G26" s="3">
        <f>P4</f>
        <v>4100</v>
      </c>
      <c r="H26" s="3"/>
      <c r="I26" s="3"/>
      <c r="J26" s="3"/>
      <c r="K26" s="3"/>
      <c r="L26" s="3"/>
      <c r="M26" s="73">
        <f t="shared" si="1"/>
        <v>2983.4375000000009</v>
      </c>
      <c r="N26" s="3"/>
      <c r="O26" s="3"/>
      <c r="P26" s="3"/>
      <c r="Q26" s="3"/>
      <c r="R26" s="3"/>
      <c r="S26" s="3"/>
    </row>
    <row r="27" spans="1:19" s="1" customFormat="1" x14ac:dyDescent="0.25">
      <c r="A27"/>
      <c r="B27" s="3">
        <v>2020</v>
      </c>
      <c r="C27" s="3">
        <f>('Income Statement'!H7)*$D$5</f>
        <v>2939.3999999999996</v>
      </c>
      <c r="D27" s="3">
        <f>('Income Statement'!H14)*$D$9</f>
        <v>1438.6499999999976</v>
      </c>
      <c r="E27" s="1">
        <f t="shared" si="0"/>
        <v>2250</v>
      </c>
      <c r="F27" s="3"/>
      <c r="G27" s="3">
        <f>N3</f>
        <v>2019</v>
      </c>
      <c r="H27" s="3"/>
      <c r="I27" s="3"/>
      <c r="J27" s="3"/>
      <c r="K27" s="3"/>
      <c r="L27" s="3"/>
      <c r="M27" s="73">
        <f t="shared" si="1"/>
        <v>2161.7624999999994</v>
      </c>
      <c r="N27" s="3"/>
      <c r="O27" s="3"/>
      <c r="P27" s="3"/>
      <c r="Q27" s="3"/>
      <c r="R27" s="3"/>
      <c r="S27" s="3"/>
    </row>
    <row r="28" spans="1:19" s="1" customFormat="1" x14ac:dyDescent="0.25">
      <c r="A28"/>
      <c r="B28" s="3">
        <v>2019</v>
      </c>
      <c r="C28" s="3">
        <f>('Income Statement'!G7)*$D$5</f>
        <v>3198</v>
      </c>
      <c r="D28" s="3">
        <f>('Income Statement'!G14)*$D$9</f>
        <v>4257.3000000000011</v>
      </c>
      <c r="E28" s="1">
        <f t="shared" si="0"/>
        <v>2250</v>
      </c>
      <c r="F28" s="3"/>
      <c r="G28" s="3">
        <f>N4</f>
        <v>2183</v>
      </c>
      <c r="H28" s="3"/>
      <c r="I28" s="3"/>
      <c r="J28" s="3"/>
      <c r="K28" s="3"/>
      <c r="L28" s="3"/>
      <c r="M28" s="73">
        <f t="shared" si="1"/>
        <v>2972.0750000000003</v>
      </c>
      <c r="N28" s="3"/>
      <c r="O28" s="3"/>
      <c r="P28" s="3"/>
      <c r="Q28" s="3"/>
      <c r="R28" s="3"/>
      <c r="S28" s="3"/>
    </row>
    <row r="29" spans="1:19" s="1" customFormat="1" x14ac:dyDescent="0.25">
      <c r="A29"/>
      <c r="B29" s="1">
        <v>2018</v>
      </c>
      <c r="C29" s="3">
        <f>('Income Statement'!F7)*$D$5</f>
        <v>2730.6000000000004</v>
      </c>
      <c r="D29" s="3">
        <f>('Income Statement'!F14)*$D$9</f>
        <v>3267.1499999999996</v>
      </c>
      <c r="E29" s="1">
        <f t="shared" si="0"/>
        <v>2250</v>
      </c>
      <c r="F29" s="3"/>
      <c r="G29" s="3">
        <f>M4</f>
        <v>1944</v>
      </c>
      <c r="H29" s="3"/>
      <c r="I29" s="3"/>
      <c r="J29" s="3"/>
      <c r="K29" s="3"/>
      <c r="L29" s="3"/>
      <c r="M29" s="73">
        <f t="shared" si="1"/>
        <v>2547.9375</v>
      </c>
      <c r="N29" s="3"/>
      <c r="O29" s="3"/>
      <c r="P29" s="3"/>
      <c r="Q29" s="3"/>
      <c r="R29" s="3"/>
      <c r="S29" s="3"/>
    </row>
    <row r="30" spans="1:19" s="1" customFormat="1" x14ac:dyDescent="0.25">
      <c r="A30"/>
      <c r="B30" s="1">
        <v>2017</v>
      </c>
      <c r="C30" s="3">
        <f>('Income Statement'!E7)*$D$5</f>
        <v>2187</v>
      </c>
      <c r="D30" s="3">
        <f>('Income Statement'!E14)*$D$9</f>
        <v>2535.75</v>
      </c>
      <c r="E30" s="1">
        <f t="shared" si="0"/>
        <v>2250</v>
      </c>
      <c r="F30" s="3"/>
      <c r="G30" s="3">
        <f>L4</f>
        <v>1492</v>
      </c>
      <c r="H30" s="3"/>
      <c r="I30" s="3"/>
      <c r="J30" s="3"/>
      <c r="K30" s="3"/>
      <c r="L30" s="3"/>
      <c r="M30" s="73">
        <f t="shared" si="1"/>
        <v>2116.1875</v>
      </c>
      <c r="N30" s="3"/>
      <c r="O30" s="3"/>
      <c r="P30" s="3"/>
      <c r="Q30" s="3"/>
      <c r="R30" s="3"/>
      <c r="S30" s="3"/>
    </row>
    <row r="31" spans="1:19" s="1" customFormat="1" x14ac:dyDescent="0.25">
      <c r="A31"/>
      <c r="B31" s="1">
        <v>2016</v>
      </c>
      <c r="C31" s="3">
        <f>('Income Statement'!D7)*$D$5</f>
        <v>1810.1999999999998</v>
      </c>
      <c r="D31" s="3">
        <f>('Income Statement'!D14)*$D$9</f>
        <v>1214.3999999999996</v>
      </c>
      <c r="E31" s="1">
        <f t="shared" si="0"/>
        <v>2250</v>
      </c>
      <c r="F31" s="3"/>
      <c r="G31" s="3">
        <f>K4</f>
        <v>1548</v>
      </c>
      <c r="H31" s="3"/>
      <c r="I31" s="3"/>
      <c r="J31" s="3"/>
      <c r="K31" s="3"/>
      <c r="L31" s="3"/>
      <c r="M31" s="73">
        <f t="shared" si="1"/>
        <v>1705.6499999999999</v>
      </c>
      <c r="N31" s="3"/>
      <c r="O31" s="3"/>
      <c r="P31" s="3"/>
      <c r="Q31" s="3"/>
      <c r="R31" s="3"/>
      <c r="S31" s="3"/>
    </row>
    <row r="32" spans="1:19" s="1" customFormat="1" x14ac:dyDescent="0.25">
      <c r="A32"/>
      <c r="B32" s="3">
        <v>2015</v>
      </c>
      <c r="C32" s="3">
        <f>('Income Statement'!C7)*$D$5</f>
        <v>1788</v>
      </c>
      <c r="D32" s="3">
        <f>('Income Statement'!C14)*$D$9</f>
        <v>2518.5</v>
      </c>
      <c r="E32" s="1">
        <f t="shared" si="0"/>
        <v>2250</v>
      </c>
      <c r="F32" s="3"/>
      <c r="G32" s="3">
        <f>J4</f>
        <v>982</v>
      </c>
      <c r="H32" s="3"/>
      <c r="I32" s="3"/>
      <c r="J32" s="3"/>
      <c r="K32" s="3"/>
      <c r="L32" s="3"/>
      <c r="M32" s="73">
        <f t="shared" si="1"/>
        <v>1884.625</v>
      </c>
      <c r="N32" s="3"/>
      <c r="O32" s="3"/>
      <c r="P32" s="3"/>
      <c r="Q32" s="3"/>
      <c r="R32" s="3"/>
      <c r="S32" s="3"/>
    </row>
    <row r="33" spans="1:19" s="1" customFormat="1" x14ac:dyDescent="0.25">
      <c r="A3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73"/>
      <c r="N33" s="3"/>
      <c r="O33" s="3"/>
      <c r="P33" s="3"/>
      <c r="Q33" s="3"/>
      <c r="R33" s="3"/>
      <c r="S33" s="3"/>
    </row>
    <row r="34" spans="1:19" s="1" customFormat="1" ht="15.75" x14ac:dyDescent="0.25">
      <c r="A34"/>
      <c r="B34" s="38" t="s">
        <v>205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s="1" customFormat="1" x14ac:dyDescent="0.25">
      <c r="A35"/>
      <c r="B35" s="7" t="s">
        <v>354</v>
      </c>
      <c r="C35" s="7" t="s">
        <v>225</v>
      </c>
      <c r="D35" s="7" t="s">
        <v>363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s="1" customFormat="1" x14ac:dyDescent="0.25">
      <c r="A36"/>
      <c r="B36" s="4" t="s">
        <v>353</v>
      </c>
      <c r="C36" s="4" t="s">
        <v>366</v>
      </c>
      <c r="D36" s="4" t="s">
        <v>367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9" spans="1:19" x14ac:dyDescent="0.25">
      <c r="B39" s="37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BCF3-F484-4D93-A0C1-EAB3DA2B4E23}">
  <dimension ref="B2:XFD29"/>
  <sheetViews>
    <sheetView workbookViewId="0">
      <selection activeCell="C28" sqref="C28"/>
    </sheetView>
  </sheetViews>
  <sheetFormatPr defaultRowHeight="15" x14ac:dyDescent="0.25"/>
  <cols>
    <col min="2" max="2" width="34.7109375" bestFit="1" customWidth="1"/>
    <col min="3" max="4" width="11.28515625" bestFit="1" customWidth="1"/>
    <col min="9" max="9" width="38.140625" bestFit="1" customWidth="1"/>
    <col min="10" max="10" width="20.28515625" bestFit="1" customWidth="1"/>
    <col min="11" max="11" width="66.140625" bestFit="1" customWidth="1"/>
    <col min="12" max="12" width="50.42578125" bestFit="1" customWidth="1"/>
  </cols>
  <sheetData>
    <row r="2" spans="2:12" ht="18" x14ac:dyDescent="0.25">
      <c r="B2" s="89" t="s">
        <v>471</v>
      </c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2:12" ht="15.75" x14ac:dyDescent="0.25">
      <c r="B3" s="98" t="s">
        <v>96</v>
      </c>
      <c r="C3" s="68"/>
      <c r="D3" s="68"/>
      <c r="E3" s="68"/>
      <c r="F3" s="68"/>
      <c r="G3" s="68"/>
      <c r="H3" s="68"/>
      <c r="I3" s="98" t="s">
        <v>483</v>
      </c>
      <c r="J3" s="68"/>
      <c r="K3" s="68"/>
      <c r="L3" s="68"/>
    </row>
    <row r="4" spans="2:12" x14ac:dyDescent="0.25">
      <c r="B4" s="90" t="s">
        <v>33</v>
      </c>
      <c r="C4" s="68"/>
      <c r="D4" s="68"/>
      <c r="E4" s="68"/>
      <c r="F4" s="68"/>
      <c r="G4" s="68"/>
      <c r="H4" s="68"/>
      <c r="I4" s="91" t="s">
        <v>485</v>
      </c>
      <c r="J4" s="91" t="s">
        <v>487</v>
      </c>
      <c r="K4" s="91" t="s">
        <v>486</v>
      </c>
      <c r="L4" s="91" t="s">
        <v>488</v>
      </c>
    </row>
    <row r="5" spans="2:12" x14ac:dyDescent="0.25">
      <c r="B5" s="91" t="s">
        <v>473</v>
      </c>
      <c r="C5" s="91" t="s">
        <v>479</v>
      </c>
      <c r="D5" s="68"/>
      <c r="E5" s="91" t="s">
        <v>480</v>
      </c>
      <c r="F5" s="68"/>
      <c r="G5" s="68"/>
      <c r="H5" s="68"/>
      <c r="I5" s="68" t="s">
        <v>484</v>
      </c>
      <c r="J5" s="92">
        <v>2240000</v>
      </c>
      <c r="K5" s="68" t="s">
        <v>504</v>
      </c>
      <c r="L5" s="68" t="s">
        <v>505</v>
      </c>
    </row>
    <row r="6" spans="2:12" x14ac:dyDescent="0.25">
      <c r="B6" s="68" t="s">
        <v>472</v>
      </c>
      <c r="C6" s="68">
        <v>50</v>
      </c>
      <c r="D6" s="68"/>
      <c r="E6" s="91" t="s">
        <v>489</v>
      </c>
      <c r="F6" s="68"/>
      <c r="G6" s="68"/>
      <c r="H6" s="68"/>
      <c r="I6" s="68" t="s">
        <v>490</v>
      </c>
      <c r="J6" s="93">
        <v>2</v>
      </c>
      <c r="K6" s="68" t="s">
        <v>507</v>
      </c>
      <c r="L6" s="68" t="s">
        <v>506</v>
      </c>
    </row>
    <row r="7" spans="2:12" x14ac:dyDescent="0.25">
      <c r="B7" s="68" t="s">
        <v>474</v>
      </c>
      <c r="C7" s="68">
        <v>47</v>
      </c>
      <c r="D7" s="68"/>
      <c r="E7" s="68"/>
      <c r="F7" s="68"/>
      <c r="G7" s="68"/>
      <c r="H7" s="68"/>
      <c r="I7" s="68" t="s">
        <v>491</v>
      </c>
      <c r="J7" s="93" t="s">
        <v>502</v>
      </c>
      <c r="K7" s="68" t="s">
        <v>508</v>
      </c>
      <c r="L7" s="68" t="s">
        <v>509</v>
      </c>
    </row>
    <row r="8" spans="2:12" x14ac:dyDescent="0.25">
      <c r="B8" s="68" t="s">
        <v>475</v>
      </c>
      <c r="C8" s="68">
        <v>24.7</v>
      </c>
      <c r="D8" s="68"/>
      <c r="E8" s="68"/>
      <c r="F8" s="68"/>
      <c r="G8" s="68"/>
      <c r="H8" s="68"/>
      <c r="I8" s="68" t="s">
        <v>492</v>
      </c>
      <c r="J8" s="94">
        <v>220000</v>
      </c>
      <c r="K8" s="68" t="s">
        <v>510</v>
      </c>
      <c r="L8" s="68" t="s">
        <v>511</v>
      </c>
    </row>
    <row r="9" spans="2:12" x14ac:dyDescent="0.25">
      <c r="B9" s="68" t="s">
        <v>476</v>
      </c>
      <c r="C9" s="68">
        <v>24.7</v>
      </c>
      <c r="D9" s="68"/>
      <c r="E9" s="68"/>
      <c r="F9" s="68"/>
      <c r="G9" s="68"/>
      <c r="H9" s="68"/>
      <c r="I9" s="68" t="s">
        <v>493</v>
      </c>
      <c r="J9" s="94">
        <v>32000</v>
      </c>
      <c r="K9" s="68" t="s">
        <v>512</v>
      </c>
      <c r="L9" s="68" t="s">
        <v>513</v>
      </c>
    </row>
    <row r="10" spans="2:12" x14ac:dyDescent="0.25">
      <c r="B10" s="68" t="s">
        <v>477</v>
      </c>
      <c r="C10" s="68">
        <v>11.3</v>
      </c>
      <c r="D10" s="68"/>
      <c r="E10" s="68"/>
      <c r="F10" s="68"/>
      <c r="G10" s="68"/>
      <c r="H10" s="68"/>
      <c r="I10" s="68" t="s">
        <v>494</v>
      </c>
      <c r="J10" s="92">
        <v>63800000</v>
      </c>
      <c r="K10" s="68" t="s">
        <v>514</v>
      </c>
      <c r="L10" s="68" t="s">
        <v>515</v>
      </c>
    </row>
    <row r="11" spans="2:12" x14ac:dyDescent="0.25">
      <c r="B11" s="95" t="s">
        <v>231</v>
      </c>
      <c r="C11" s="91">
        <f>SUM(C6:C10)</f>
        <v>157.70000000000002</v>
      </c>
      <c r="D11" s="68"/>
      <c r="E11" s="68"/>
      <c r="F11" s="68"/>
      <c r="G11" s="68"/>
      <c r="H11" s="68"/>
      <c r="I11" s="68" t="s">
        <v>495</v>
      </c>
      <c r="J11" s="94">
        <v>23400</v>
      </c>
      <c r="K11" s="68" t="s">
        <v>517</v>
      </c>
      <c r="L11" s="68" t="s">
        <v>516</v>
      </c>
    </row>
    <row r="12" spans="2:12" x14ac:dyDescent="0.25">
      <c r="B12" s="68"/>
      <c r="C12" s="68"/>
      <c r="D12" s="68"/>
      <c r="E12" s="68"/>
      <c r="F12" s="68"/>
      <c r="G12" s="68"/>
      <c r="H12" s="68"/>
      <c r="I12" s="68" t="s">
        <v>496</v>
      </c>
      <c r="J12" s="93">
        <v>0</v>
      </c>
      <c r="K12" s="68" t="s">
        <v>518</v>
      </c>
      <c r="L12" s="68" t="s">
        <v>519</v>
      </c>
    </row>
    <row r="13" spans="2:12" x14ac:dyDescent="0.25">
      <c r="B13" s="68"/>
      <c r="C13" s="68"/>
      <c r="D13" s="68"/>
      <c r="E13" s="68"/>
      <c r="F13" s="68"/>
      <c r="G13" s="68"/>
      <c r="H13" s="68"/>
      <c r="I13" s="68" t="s">
        <v>497</v>
      </c>
      <c r="J13" s="93" t="s">
        <v>503</v>
      </c>
      <c r="K13" s="68" t="s">
        <v>521</v>
      </c>
      <c r="L13" s="68" t="s">
        <v>520</v>
      </c>
    </row>
    <row r="14" spans="2:12" ht="15.75" x14ac:dyDescent="0.25">
      <c r="B14" s="98" t="s">
        <v>481</v>
      </c>
      <c r="C14" s="68"/>
      <c r="D14" s="68"/>
      <c r="E14" s="68"/>
      <c r="F14" s="68"/>
      <c r="G14" s="68"/>
      <c r="H14" s="68"/>
      <c r="I14" s="68" t="s">
        <v>498</v>
      </c>
      <c r="J14" s="96">
        <v>0.21</v>
      </c>
      <c r="K14" s="68" t="s">
        <v>522</v>
      </c>
      <c r="L14" s="68" t="s">
        <v>523</v>
      </c>
    </row>
    <row r="15" spans="2:12" x14ac:dyDescent="0.25">
      <c r="B15" s="91" t="s">
        <v>480</v>
      </c>
      <c r="C15" s="97">
        <v>45778</v>
      </c>
      <c r="D15" s="97">
        <v>45779</v>
      </c>
      <c r="E15" s="91" t="s">
        <v>482</v>
      </c>
      <c r="F15" s="68"/>
      <c r="G15" s="68"/>
      <c r="H15" s="68"/>
      <c r="I15" s="68" t="s">
        <v>499</v>
      </c>
      <c r="J15" s="96">
        <v>0.98</v>
      </c>
      <c r="K15" s="68" t="s">
        <v>524</v>
      </c>
      <c r="L15" s="68" t="s">
        <v>525</v>
      </c>
    </row>
    <row r="16" spans="2:12" x14ac:dyDescent="0.25">
      <c r="B16" s="68" t="s">
        <v>472</v>
      </c>
      <c r="C16" s="68">
        <v>2</v>
      </c>
      <c r="D16" s="68">
        <v>0</v>
      </c>
      <c r="E16" s="68"/>
      <c r="F16" s="68"/>
      <c r="G16" s="68"/>
      <c r="H16" s="68"/>
      <c r="I16" s="68"/>
      <c r="J16" s="68"/>
      <c r="K16" s="68"/>
      <c r="L16" s="68"/>
    </row>
    <row r="17" spans="2:12 16384:16384" x14ac:dyDescent="0.25">
      <c r="B17" s="68" t="s">
        <v>474</v>
      </c>
      <c r="C17" s="68">
        <v>1</v>
      </c>
      <c r="D17" s="68">
        <v>2</v>
      </c>
      <c r="E17" s="68"/>
      <c r="F17" s="68"/>
      <c r="G17" s="68"/>
      <c r="H17" s="68"/>
      <c r="I17" s="68"/>
      <c r="J17" s="68"/>
      <c r="K17" s="68"/>
      <c r="L17" s="68"/>
    </row>
    <row r="18" spans="2:12 16384:16384" x14ac:dyDescent="0.25">
      <c r="B18" s="68" t="s">
        <v>475</v>
      </c>
      <c r="C18" s="68">
        <v>2</v>
      </c>
      <c r="D18" s="68">
        <v>4</v>
      </c>
      <c r="E18" s="68"/>
      <c r="F18" s="68"/>
      <c r="G18" s="68"/>
      <c r="H18" s="68"/>
      <c r="I18" s="68"/>
      <c r="J18" s="68"/>
      <c r="K18" s="68"/>
      <c r="L18" s="68"/>
    </row>
    <row r="19" spans="2:12 16384:16384" x14ac:dyDescent="0.25">
      <c r="B19" s="68" t="s">
        <v>476</v>
      </c>
      <c r="C19" s="68">
        <v>0</v>
      </c>
      <c r="D19" s="68">
        <v>1</v>
      </c>
      <c r="E19" s="68"/>
      <c r="F19" s="68"/>
      <c r="G19" s="68"/>
      <c r="H19" s="68"/>
      <c r="I19" s="68"/>
      <c r="J19" s="68"/>
      <c r="K19" s="68"/>
      <c r="L19" s="68"/>
    </row>
    <row r="20" spans="2:12 16384:16384" x14ac:dyDescent="0.25">
      <c r="B20" s="68" t="s">
        <v>477</v>
      </c>
      <c r="C20" s="68">
        <v>0</v>
      </c>
      <c r="D20" s="68">
        <v>10</v>
      </c>
      <c r="E20" s="68"/>
      <c r="F20" s="68"/>
      <c r="G20" s="68"/>
      <c r="H20" s="68"/>
      <c r="I20" s="68"/>
      <c r="J20" s="68"/>
      <c r="K20" s="68"/>
      <c r="L20" s="68"/>
    </row>
    <row r="21" spans="2:12 16384:16384" x14ac:dyDescent="0.25">
      <c r="B21" s="68" t="s">
        <v>478</v>
      </c>
      <c r="C21" s="68">
        <v>3</v>
      </c>
      <c r="D21" s="68">
        <v>0</v>
      </c>
      <c r="E21" s="68"/>
      <c r="F21" s="68"/>
      <c r="G21" s="68"/>
      <c r="H21" s="68"/>
      <c r="I21" s="68"/>
      <c r="J21" s="68"/>
      <c r="K21" s="68"/>
      <c r="L21" s="68"/>
    </row>
    <row r="22" spans="2:12 16384:16384" x14ac:dyDescent="0.25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</row>
    <row r="23" spans="2:12 16384:16384" x14ac:dyDescent="0.25"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</row>
    <row r="24" spans="2:12 16384:16384" ht="15.75" x14ac:dyDescent="0.25">
      <c r="B24" s="98" t="s">
        <v>205</v>
      </c>
      <c r="C24" s="68"/>
      <c r="D24" s="68"/>
      <c r="E24" s="68"/>
      <c r="F24" s="68"/>
      <c r="G24" s="68"/>
      <c r="H24" s="68"/>
      <c r="I24" s="68"/>
      <c r="J24" s="68"/>
      <c r="K24" s="68"/>
      <c r="L24" s="68"/>
    </row>
    <row r="25" spans="2:12 16384:16384" x14ac:dyDescent="0.25">
      <c r="B25" s="7" t="s">
        <v>55</v>
      </c>
      <c r="C25" s="7" t="s">
        <v>223</v>
      </c>
      <c r="D25" s="7" t="s">
        <v>224</v>
      </c>
      <c r="E25" s="7" t="s">
        <v>225</v>
      </c>
      <c r="F25" s="7" t="s">
        <v>355</v>
      </c>
      <c r="G25" s="68"/>
      <c r="H25" s="68"/>
      <c r="I25" s="68"/>
      <c r="J25" s="68"/>
      <c r="K25" s="68"/>
      <c r="L25" s="68"/>
      <c r="XFD25" s="31"/>
    </row>
    <row r="26" spans="2:12 16384:16384" x14ac:dyDescent="0.25">
      <c r="B26" s="103" t="s">
        <v>500</v>
      </c>
      <c r="C26" s="103" t="s">
        <v>473</v>
      </c>
      <c r="D26" s="103" t="s">
        <v>479</v>
      </c>
      <c r="E26" s="103" t="s">
        <v>526</v>
      </c>
      <c r="F26" s="103" t="s">
        <v>527</v>
      </c>
      <c r="G26" s="68"/>
      <c r="H26" s="68"/>
      <c r="I26" s="68"/>
      <c r="J26" s="68"/>
      <c r="K26" s="68"/>
      <c r="L26" s="68"/>
    </row>
    <row r="27" spans="2:12 16384:16384" x14ac:dyDescent="0.25">
      <c r="B27" s="103" t="s">
        <v>501</v>
      </c>
      <c r="C27" s="4" t="s">
        <v>530</v>
      </c>
      <c r="D27" s="4" t="s">
        <v>529</v>
      </c>
      <c r="E27" s="4" t="s">
        <v>528</v>
      </c>
      <c r="F27" s="4" t="s">
        <v>388</v>
      </c>
    </row>
    <row r="28" spans="2:12 16384:16384" x14ac:dyDescent="0.25">
      <c r="B28" s="103" t="s">
        <v>532</v>
      </c>
      <c r="C28" s="103" t="s">
        <v>531</v>
      </c>
      <c r="D28" s="103" t="s">
        <v>529</v>
      </c>
      <c r="E28" s="103" t="s">
        <v>533</v>
      </c>
      <c r="F28" s="4" t="s">
        <v>388</v>
      </c>
    </row>
    <row r="29" spans="2:12 16384:16384" x14ac:dyDescent="0.25">
      <c r="B29" s="103" t="s">
        <v>491</v>
      </c>
      <c r="C29" s="103" t="s">
        <v>534</v>
      </c>
      <c r="D29" s="103" t="s">
        <v>535</v>
      </c>
      <c r="E29" s="4" t="s">
        <v>537</v>
      </c>
      <c r="F29" s="4" t="s">
        <v>536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8879-BD03-4B74-9043-4A831CFF988D}">
  <dimension ref="A1:U39"/>
  <sheetViews>
    <sheetView workbookViewId="0">
      <selection activeCell="P27" sqref="P27"/>
    </sheetView>
  </sheetViews>
  <sheetFormatPr defaultColWidth="9" defaultRowHeight="14.25" x14ac:dyDescent="0.2"/>
  <cols>
    <col min="1" max="1" width="9" style="1"/>
    <col min="2" max="2" width="34.28515625" style="4" bestFit="1" customWidth="1"/>
    <col min="3" max="16384" width="9" style="4"/>
  </cols>
  <sheetData>
    <row r="1" spans="2:21" s="1" customFormat="1" x14ac:dyDescent="0.2"/>
    <row r="2" spans="2:21" s="1" customFormat="1" ht="18" x14ac:dyDescent="0.25">
      <c r="B2" s="6" t="s">
        <v>20</v>
      </c>
    </row>
    <row r="3" spans="2:21" s="1" customFormat="1" ht="15" x14ac:dyDescent="0.25">
      <c r="B3" s="30" t="s">
        <v>33</v>
      </c>
      <c r="C3" s="2">
        <v>2015</v>
      </c>
      <c r="D3" s="7">
        <v>2016</v>
      </c>
      <c r="E3" s="7">
        <v>2017</v>
      </c>
      <c r="F3" s="7">
        <v>2018</v>
      </c>
      <c r="G3" s="7">
        <v>2019</v>
      </c>
      <c r="H3" s="7">
        <v>2020</v>
      </c>
      <c r="I3" s="7">
        <v>2021</v>
      </c>
      <c r="J3" s="7">
        <v>2022</v>
      </c>
      <c r="K3" s="7">
        <v>2023</v>
      </c>
      <c r="L3" s="7">
        <v>2024</v>
      </c>
    </row>
    <row r="4" spans="2:21" s="1" customFormat="1" ht="15" x14ac:dyDescent="0.25">
      <c r="B4" s="37" t="s">
        <v>24</v>
      </c>
      <c r="C4" s="2"/>
      <c r="D4" s="7"/>
      <c r="E4" s="7"/>
      <c r="F4" s="7"/>
      <c r="G4" s="7"/>
      <c r="H4" s="7"/>
      <c r="I4" s="7"/>
      <c r="J4" s="7"/>
      <c r="K4" s="7"/>
      <c r="L4" s="7"/>
    </row>
    <row r="5" spans="2:21" x14ac:dyDescent="0.2">
      <c r="B5" s="4" t="s">
        <v>144</v>
      </c>
      <c r="C5" s="4">
        <f>'Income Statement'!C21</f>
        <v>8.9000000000000057</v>
      </c>
      <c r="D5" s="4">
        <f>'Income Statement'!D21</f>
        <v>-42.500000000000014</v>
      </c>
      <c r="E5" s="4">
        <f>'Income Statement'!E21</f>
        <v>6.6000000000000085</v>
      </c>
      <c r="F5" s="4">
        <f>'Income Statement'!F21</f>
        <v>7.0999999999999943</v>
      </c>
      <c r="G5" s="4">
        <f>'Income Statement'!G21</f>
        <v>0.50000000000002842</v>
      </c>
      <c r="H5" s="4">
        <f>'Income Statement'!H21</f>
        <v>-74.300000000000068</v>
      </c>
      <c r="I5" s="4">
        <f>'Income Statement'!I21</f>
        <v>-40.299999999999926</v>
      </c>
      <c r="J5" s="4">
        <f>'Income Statement'!J21</f>
        <v>-17.900000000000091</v>
      </c>
      <c r="K5" s="4">
        <f>'Income Statement'!K21</f>
        <v>-37.899999999999977</v>
      </c>
      <c r="L5" s="4">
        <f>'Income Statement'!L21</f>
        <v>-69.700000000000074</v>
      </c>
    </row>
    <row r="6" spans="2:21" x14ac:dyDescent="0.2">
      <c r="B6" s="4" t="s">
        <v>145</v>
      </c>
      <c r="C6" s="4">
        <f>ABS('Income Statement'!C20)</f>
        <v>64.099999999999994</v>
      </c>
      <c r="D6" s="4">
        <f>ABS('Income Statement'!D20)</f>
        <v>77.7</v>
      </c>
      <c r="E6" s="4">
        <f>ABS('Income Statement'!E20)</f>
        <v>66.899999999999991</v>
      </c>
      <c r="F6" s="4">
        <f>ABS('Income Statement'!F20)</f>
        <v>87.6</v>
      </c>
      <c r="G6" s="4">
        <f>ABS('Income Statement'!G20)</f>
        <v>122.9</v>
      </c>
      <c r="H6" s="4">
        <f>ABS('Income Statement'!H20)</f>
        <v>116</v>
      </c>
      <c r="I6" s="4">
        <f>ABS('Income Statement'!I20)</f>
        <v>117.4</v>
      </c>
      <c r="J6" s="4">
        <f>ABS('Income Statement'!J20)</f>
        <v>114.30000000000001</v>
      </c>
      <c r="K6" s="4">
        <f>ABS('Income Statement'!K20)</f>
        <v>121.69999999999999</v>
      </c>
      <c r="L6" s="4">
        <f>ABS('Income Statement'!L20)</f>
        <v>130.29999999999998</v>
      </c>
    </row>
    <row r="7" spans="2:21" x14ac:dyDescent="0.2">
      <c r="B7" s="4" t="s">
        <v>146</v>
      </c>
      <c r="C7" s="4">
        <v>0</v>
      </c>
      <c r="D7" s="4">
        <f>'Income Statement'!D23</f>
        <v>42.1</v>
      </c>
      <c r="E7" s="4">
        <f>'Income Statement'!E23</f>
        <v>38.299999999999997</v>
      </c>
      <c r="F7" s="4">
        <f>'Income Statement'!F23</f>
        <v>123.9</v>
      </c>
      <c r="G7" s="4">
        <f>'Income Statement'!G23</f>
        <v>45.2</v>
      </c>
      <c r="H7" s="4">
        <f>'Income Statement'!H23</f>
        <v>26.9</v>
      </c>
      <c r="I7" s="4">
        <f>'Income Statement'!I23</f>
        <v>39.299999999999997</v>
      </c>
      <c r="J7" s="4">
        <f>'Income Statement'!J23</f>
        <v>28.1</v>
      </c>
      <c r="K7" s="4">
        <f>'Income Statement'!K23</f>
        <v>33.799999999999997</v>
      </c>
      <c r="L7" s="4">
        <f>'Income Statement'!L23</f>
        <v>22</v>
      </c>
    </row>
    <row r="8" spans="2:21" x14ac:dyDescent="0.2">
      <c r="B8" s="7" t="s">
        <v>101</v>
      </c>
      <c r="C8" s="21">
        <f t="shared" ref="C8:L8" si="0">C5+C6-C7</f>
        <v>73</v>
      </c>
      <c r="D8" s="21">
        <f t="shared" si="0"/>
        <v>-6.9000000000000128</v>
      </c>
      <c r="E8" s="21">
        <f t="shared" si="0"/>
        <v>35.200000000000003</v>
      </c>
      <c r="F8" s="21">
        <f t="shared" si="0"/>
        <v>-29.200000000000017</v>
      </c>
      <c r="G8" s="21">
        <f t="shared" si="0"/>
        <v>78.200000000000031</v>
      </c>
      <c r="H8" s="21">
        <f t="shared" si="0"/>
        <v>14.799999999999933</v>
      </c>
      <c r="I8" s="21">
        <f t="shared" si="0"/>
        <v>37.800000000000082</v>
      </c>
      <c r="J8" s="21">
        <f t="shared" si="0"/>
        <v>68.299999999999926</v>
      </c>
      <c r="K8" s="21">
        <f t="shared" si="0"/>
        <v>50.000000000000014</v>
      </c>
      <c r="L8" s="21">
        <f t="shared" si="0"/>
        <v>38.599999999999909</v>
      </c>
    </row>
    <row r="9" spans="2:21" x14ac:dyDescent="0.2">
      <c r="B9" s="4" t="s">
        <v>102</v>
      </c>
      <c r="C9" s="4">
        <f>'Income Statement'!C22</f>
        <v>0.3</v>
      </c>
      <c r="D9" s="4">
        <f>'Income Statement'!D22</f>
        <v>-15.7</v>
      </c>
      <c r="E9" s="4">
        <f>'Income Statement'!E22</f>
        <v>0</v>
      </c>
      <c r="F9" s="4">
        <f>'Income Statement'!F22</f>
        <v>0</v>
      </c>
      <c r="G9" s="4">
        <f>'Income Statement'!G22</f>
        <v>0</v>
      </c>
      <c r="H9" s="4">
        <f>'Income Statement'!H22</f>
        <v>0</v>
      </c>
      <c r="I9" s="4">
        <f>'Income Statement'!I22</f>
        <v>0</v>
      </c>
      <c r="J9" s="4">
        <f>'Income Statement'!J22</f>
        <v>0</v>
      </c>
      <c r="K9" s="4">
        <f>'Income Statement'!K22</f>
        <v>0</v>
      </c>
      <c r="L9" s="4">
        <f>'Income Statement'!L22</f>
        <v>0</v>
      </c>
      <c r="M9" s="19"/>
    </row>
    <row r="10" spans="2:21" x14ac:dyDescent="0.2">
      <c r="B10" s="7" t="s">
        <v>103</v>
      </c>
      <c r="C10" s="21">
        <f>C8-C9</f>
        <v>72.7</v>
      </c>
      <c r="D10" s="21">
        <f>D8-D9</f>
        <v>8.7999999999999865</v>
      </c>
      <c r="E10" s="21">
        <f t="shared" ref="E10:J10" si="1">E8+E9</f>
        <v>35.200000000000003</v>
      </c>
      <c r="F10" s="21">
        <f t="shared" si="1"/>
        <v>-29.200000000000017</v>
      </c>
      <c r="G10" s="21">
        <f t="shared" si="1"/>
        <v>78.200000000000031</v>
      </c>
      <c r="H10" s="21">
        <f t="shared" si="1"/>
        <v>14.799999999999933</v>
      </c>
      <c r="I10" s="21">
        <f t="shared" si="1"/>
        <v>37.800000000000082</v>
      </c>
      <c r="J10" s="21">
        <f t="shared" si="1"/>
        <v>68.299999999999926</v>
      </c>
      <c r="K10" s="21">
        <f>K8+K9</f>
        <v>50.000000000000014</v>
      </c>
      <c r="L10" s="21">
        <f>L8+L9</f>
        <v>38.599999999999909</v>
      </c>
    </row>
    <row r="11" spans="2:21" x14ac:dyDescent="0.2">
      <c r="B11" s="4" t="s">
        <v>104</v>
      </c>
      <c r="C11" s="4">
        <v>-7.62</v>
      </c>
      <c r="D11" s="4">
        <v>12.7</v>
      </c>
      <c r="G11" s="4">
        <v>7.4</v>
      </c>
      <c r="H11" s="4">
        <v>52.1</v>
      </c>
      <c r="I11" s="4">
        <v>-54</v>
      </c>
      <c r="J11" s="4">
        <v>16.3</v>
      </c>
      <c r="K11" s="4">
        <v>5.0999999999999996</v>
      </c>
      <c r="L11" s="4">
        <v>22.6</v>
      </c>
    </row>
    <row r="12" spans="2:21" x14ac:dyDescent="0.2">
      <c r="B12" s="7" t="s">
        <v>105</v>
      </c>
      <c r="C12" s="20">
        <f>C10+C11</f>
        <v>65.08</v>
      </c>
      <c r="D12" s="20">
        <f t="shared" ref="D12:J12" si="2">D10+D11</f>
        <v>21.499999999999986</v>
      </c>
      <c r="E12" s="20">
        <f t="shared" si="2"/>
        <v>35.200000000000003</v>
      </c>
      <c r="F12" s="20">
        <f t="shared" si="2"/>
        <v>-29.200000000000017</v>
      </c>
      <c r="G12" s="20">
        <f t="shared" si="2"/>
        <v>85.600000000000037</v>
      </c>
      <c r="H12" s="20">
        <f t="shared" si="2"/>
        <v>66.899999999999935</v>
      </c>
      <c r="I12" s="20">
        <f t="shared" si="2"/>
        <v>-16.199999999999918</v>
      </c>
      <c r="J12" s="20">
        <f t="shared" si="2"/>
        <v>84.599999999999923</v>
      </c>
      <c r="K12" s="20">
        <f>K10+K11</f>
        <v>55.100000000000016</v>
      </c>
      <c r="L12" s="20">
        <f>L10+L11</f>
        <v>61.19999999999991</v>
      </c>
    </row>
    <row r="13" spans="2:21" x14ac:dyDescent="0.2">
      <c r="B13" s="4" t="s">
        <v>106</v>
      </c>
      <c r="C13" s="4">
        <v>-2.8</v>
      </c>
      <c r="D13" s="4">
        <v>-2.2999999999999998</v>
      </c>
      <c r="E13" s="4">
        <v>-2.5</v>
      </c>
      <c r="F13" s="4">
        <v>-1.8</v>
      </c>
      <c r="G13" s="4">
        <v>-1.8</v>
      </c>
      <c r="H13" s="4">
        <v>-1.8</v>
      </c>
      <c r="I13" s="4">
        <v>-3.3</v>
      </c>
      <c r="J13" s="4">
        <v>-2.2000000000000002</v>
      </c>
      <c r="K13" s="4">
        <v>-4.0999999999999996</v>
      </c>
      <c r="L13" s="4">
        <v>-8.3000000000000007</v>
      </c>
    </row>
    <row r="14" spans="2:21" ht="15.75" thickBot="1" x14ac:dyDescent="0.3">
      <c r="B14" s="4" t="s">
        <v>107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/>
      <c r="S14"/>
    </row>
    <row r="15" spans="2:21" ht="15.75" thickTop="1" x14ac:dyDescent="0.25">
      <c r="B15" s="22" t="s">
        <v>108</v>
      </c>
      <c r="C15" s="23">
        <f>C12+C13+C14</f>
        <v>62.28</v>
      </c>
      <c r="D15" s="23">
        <f t="shared" ref="D15:L15" si="3">D12+D13+D14</f>
        <v>19.199999999999985</v>
      </c>
      <c r="E15" s="23">
        <f t="shared" si="3"/>
        <v>32.700000000000003</v>
      </c>
      <c r="F15" s="23">
        <f t="shared" si="3"/>
        <v>-31.000000000000018</v>
      </c>
      <c r="G15" s="23">
        <f t="shared" si="3"/>
        <v>83.80000000000004</v>
      </c>
      <c r="H15" s="23">
        <f t="shared" si="3"/>
        <v>65.099999999999937</v>
      </c>
      <c r="I15" s="23">
        <f t="shared" si="3"/>
        <v>-19.499999999999918</v>
      </c>
      <c r="J15" s="23">
        <f t="shared" si="3"/>
        <v>82.39999999999992</v>
      </c>
      <c r="K15" s="23">
        <f t="shared" si="3"/>
        <v>51.000000000000014</v>
      </c>
      <c r="L15" s="23">
        <f t="shared" si="3"/>
        <v>52.899999999999906</v>
      </c>
      <c r="U15"/>
    </row>
    <row r="16" spans="2:21" x14ac:dyDescent="0.2">
      <c r="L16" s="19"/>
    </row>
    <row r="17" spans="2:14" x14ac:dyDescent="0.2">
      <c r="B17" s="36" t="s">
        <v>109</v>
      </c>
      <c r="L17" s="19"/>
    </row>
    <row r="18" spans="2:14" x14ac:dyDescent="0.2">
      <c r="B18" s="4" t="s">
        <v>114</v>
      </c>
      <c r="C18" s="4">
        <v>36.9</v>
      </c>
      <c r="D18" s="4">
        <v>62</v>
      </c>
      <c r="E18" s="4">
        <v>58.4</v>
      </c>
      <c r="F18" s="4">
        <v>104.9</v>
      </c>
      <c r="G18" s="4">
        <v>114.8</v>
      </c>
      <c r="H18" s="4">
        <v>32</v>
      </c>
      <c r="I18" s="4">
        <v>34.5</v>
      </c>
      <c r="J18" s="4">
        <v>32.200000000000003</v>
      </c>
      <c r="K18" s="4">
        <v>39.1</v>
      </c>
      <c r="L18" s="4">
        <v>49.1</v>
      </c>
    </row>
    <row r="19" spans="2:14" x14ac:dyDescent="0.2">
      <c r="B19" s="4" t="s">
        <v>115</v>
      </c>
      <c r="C19" s="4">
        <v>-95.6</v>
      </c>
      <c r="D19" s="4">
        <v>-99.8</v>
      </c>
      <c r="E19" s="4">
        <v>-97.2</v>
      </c>
      <c r="F19" s="4">
        <v>-154.1</v>
      </c>
      <c r="G19" s="4">
        <v>-173.9</v>
      </c>
      <c r="H19" s="4">
        <v>-121.5</v>
      </c>
      <c r="I19" s="4">
        <v>-90.2</v>
      </c>
      <c r="J19" s="4">
        <v>-97.2</v>
      </c>
      <c r="K19" s="4">
        <v>-122.2</v>
      </c>
      <c r="L19" s="4">
        <v>-181.6</v>
      </c>
    </row>
    <row r="20" spans="2:14" x14ac:dyDescent="0.2">
      <c r="B20" s="4" t="s">
        <v>116</v>
      </c>
      <c r="C20" s="4">
        <f t="shared" ref="C20:J20" si="4">C18+C19</f>
        <v>-58.699999999999996</v>
      </c>
      <c r="D20" s="4">
        <f t="shared" si="4"/>
        <v>-37.799999999999997</v>
      </c>
      <c r="E20" s="4">
        <f t="shared" si="4"/>
        <v>-38.800000000000004</v>
      </c>
      <c r="F20" s="4">
        <f t="shared" si="4"/>
        <v>-49.199999999999989</v>
      </c>
      <c r="G20" s="4">
        <f t="shared" si="4"/>
        <v>-59.100000000000009</v>
      </c>
      <c r="H20" s="4">
        <f t="shared" si="4"/>
        <v>-89.5</v>
      </c>
      <c r="I20" s="4">
        <f t="shared" si="4"/>
        <v>-55.7</v>
      </c>
      <c r="J20" s="4">
        <f t="shared" si="4"/>
        <v>-65</v>
      </c>
      <c r="K20" s="4">
        <f>K18+K19</f>
        <v>-83.1</v>
      </c>
      <c r="L20" s="4">
        <f>L18+L19</f>
        <v>-132.5</v>
      </c>
    </row>
    <row r="21" spans="2:14" ht="15" x14ac:dyDescent="0.25">
      <c r="B21" s="4" t="s">
        <v>143</v>
      </c>
      <c r="C21" s="24">
        <v>-39.6</v>
      </c>
      <c r="D21" s="24">
        <v>-57.4</v>
      </c>
      <c r="E21" s="24">
        <v>-52</v>
      </c>
      <c r="F21" s="24">
        <v>-15.9</v>
      </c>
      <c r="G21" s="24">
        <v>-22.6</v>
      </c>
      <c r="H21" s="24">
        <v>-29.7</v>
      </c>
      <c r="I21" s="24">
        <v>-11.35</v>
      </c>
      <c r="J21" s="24">
        <v>-23.4</v>
      </c>
      <c r="K21" s="24">
        <v>-49.8</v>
      </c>
      <c r="L21" s="24">
        <v>-56</v>
      </c>
      <c r="N21"/>
    </row>
    <row r="22" spans="2:14" x14ac:dyDescent="0.2">
      <c r="B22" s="25" t="s">
        <v>110</v>
      </c>
      <c r="C22" s="26">
        <f t="shared" ref="C22:J22" si="5">C18+C19+C21</f>
        <v>-98.3</v>
      </c>
      <c r="D22" s="26">
        <f>D18+D19+D21</f>
        <v>-95.199999999999989</v>
      </c>
      <c r="E22" s="26">
        <f t="shared" si="5"/>
        <v>-90.800000000000011</v>
      </c>
      <c r="F22" s="26">
        <f t="shared" si="5"/>
        <v>-65.099999999999994</v>
      </c>
      <c r="G22" s="26">
        <f t="shared" si="5"/>
        <v>-81.700000000000017</v>
      </c>
      <c r="H22" s="26">
        <f t="shared" si="5"/>
        <v>-119.2</v>
      </c>
      <c r="I22" s="26">
        <f t="shared" si="5"/>
        <v>-67.05</v>
      </c>
      <c r="J22" s="26">
        <f t="shared" si="5"/>
        <v>-88.4</v>
      </c>
      <c r="K22" s="26">
        <f>K18+K19+K21</f>
        <v>-132.89999999999998</v>
      </c>
      <c r="L22" s="26">
        <f>L18+L19+L21</f>
        <v>-188.5</v>
      </c>
    </row>
    <row r="23" spans="2:14" x14ac:dyDescent="0.2">
      <c r="B23" s="27" t="s">
        <v>112</v>
      </c>
      <c r="C23" s="39">
        <f>C15+C22</f>
        <v>-36.019999999999996</v>
      </c>
      <c r="D23" s="39">
        <f>D15+D22</f>
        <v>-76</v>
      </c>
      <c r="E23" s="39">
        <f t="shared" ref="E23:K23" si="6">E15+E22</f>
        <v>-58.100000000000009</v>
      </c>
      <c r="F23" s="39">
        <f t="shared" si="6"/>
        <v>-96.100000000000009</v>
      </c>
      <c r="G23" s="39">
        <f t="shared" si="6"/>
        <v>2.1000000000000227</v>
      </c>
      <c r="H23" s="39">
        <f t="shared" si="6"/>
        <v>-54.100000000000065</v>
      </c>
      <c r="I23" s="39">
        <f t="shared" si="6"/>
        <v>-86.549999999999912</v>
      </c>
      <c r="J23" s="39">
        <f t="shared" si="6"/>
        <v>-6.0000000000000853</v>
      </c>
      <c r="K23" s="39">
        <f t="shared" si="6"/>
        <v>-81.899999999999963</v>
      </c>
      <c r="L23" s="39">
        <f>L15+L22</f>
        <v>-135.60000000000008</v>
      </c>
    </row>
    <row r="24" spans="2:14" x14ac:dyDescent="0.2">
      <c r="L24" s="19"/>
    </row>
    <row r="25" spans="2:14" x14ac:dyDescent="0.2">
      <c r="B25" s="36" t="s">
        <v>25</v>
      </c>
      <c r="L25" s="19"/>
    </row>
    <row r="26" spans="2:14" x14ac:dyDescent="0.2">
      <c r="B26" s="4" t="s">
        <v>147</v>
      </c>
      <c r="C26" s="4">
        <v>49</v>
      </c>
      <c r="D26" s="4">
        <v>59.6</v>
      </c>
      <c r="E26" s="4">
        <v>-2.4</v>
      </c>
      <c r="F26" s="4">
        <v>-12.9</v>
      </c>
      <c r="G26" s="4">
        <v>-14</v>
      </c>
      <c r="H26" s="4">
        <v>-7.9</v>
      </c>
      <c r="I26" s="4">
        <v>0</v>
      </c>
      <c r="J26" s="4">
        <v>0</v>
      </c>
      <c r="K26" s="4">
        <v>0</v>
      </c>
      <c r="L26" s="4">
        <v>127.3</v>
      </c>
    </row>
    <row r="27" spans="2:14" x14ac:dyDescent="0.2">
      <c r="B27" s="4" t="s">
        <v>148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2:14" x14ac:dyDescent="0.2">
      <c r="B28" s="4" t="s">
        <v>149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2:14" x14ac:dyDescent="0.2">
      <c r="B29" s="7" t="s">
        <v>22</v>
      </c>
      <c r="C29" s="7">
        <f>SUM(C26:C28)</f>
        <v>49</v>
      </c>
      <c r="D29" s="7">
        <f t="shared" ref="D29:L29" si="7">SUM(D26:D28)</f>
        <v>59.6</v>
      </c>
      <c r="E29" s="7">
        <f t="shared" si="7"/>
        <v>-2.4</v>
      </c>
      <c r="F29" s="7">
        <f t="shared" si="7"/>
        <v>-12.9</v>
      </c>
      <c r="G29" s="7">
        <f t="shared" si="7"/>
        <v>-14</v>
      </c>
      <c r="H29" s="7">
        <f t="shared" si="7"/>
        <v>-7.9</v>
      </c>
      <c r="I29" s="7">
        <f t="shared" si="7"/>
        <v>0</v>
      </c>
      <c r="J29" s="7">
        <f t="shared" si="7"/>
        <v>0</v>
      </c>
      <c r="K29" s="7">
        <f t="shared" si="7"/>
        <v>0</v>
      </c>
      <c r="L29" s="7">
        <f t="shared" si="7"/>
        <v>127.3</v>
      </c>
    </row>
    <row r="30" spans="2:14" x14ac:dyDescent="0.2">
      <c r="B30" s="4" t="s">
        <v>111</v>
      </c>
      <c r="C30" s="4">
        <v>-9</v>
      </c>
      <c r="D30" s="4">
        <v>3</v>
      </c>
      <c r="E30" s="4">
        <v>18</v>
      </c>
      <c r="F30" s="4">
        <v>-17</v>
      </c>
      <c r="G30" s="4">
        <v>-6</v>
      </c>
      <c r="H30" s="4">
        <v>146.9</v>
      </c>
      <c r="I30" s="4">
        <v>-70.400000000000006</v>
      </c>
      <c r="J30" s="4">
        <v>-40</v>
      </c>
      <c r="K30" s="4">
        <v>38</v>
      </c>
      <c r="L30" s="4">
        <v>-10.199999999999999</v>
      </c>
    </row>
    <row r="31" spans="2:14" x14ac:dyDescent="0.2">
      <c r="B31" s="28" t="s">
        <v>25</v>
      </c>
      <c r="C31" s="29">
        <f t="shared" ref="C31:K31" si="8">C29+C30</f>
        <v>40</v>
      </c>
      <c r="D31" s="29">
        <f t="shared" si="8"/>
        <v>62.6</v>
      </c>
      <c r="E31" s="29">
        <f t="shared" si="8"/>
        <v>15.6</v>
      </c>
      <c r="F31" s="29">
        <f t="shared" si="8"/>
        <v>-29.9</v>
      </c>
      <c r="G31" s="29">
        <f t="shared" si="8"/>
        <v>-20</v>
      </c>
      <c r="H31" s="29">
        <f t="shared" si="8"/>
        <v>139</v>
      </c>
      <c r="I31" s="29">
        <f t="shared" si="8"/>
        <v>-70.400000000000006</v>
      </c>
      <c r="J31" s="29">
        <f t="shared" si="8"/>
        <v>-40</v>
      </c>
      <c r="K31" s="29">
        <f t="shared" si="8"/>
        <v>38</v>
      </c>
      <c r="L31" s="29">
        <f>L29+L30</f>
        <v>117.1</v>
      </c>
    </row>
    <row r="32" spans="2:14" x14ac:dyDescent="0.2">
      <c r="L32" s="19"/>
    </row>
    <row r="33" spans="2:13" x14ac:dyDescent="0.2">
      <c r="B33" s="40" t="s">
        <v>117</v>
      </c>
      <c r="C33" s="41">
        <f t="shared" ref="C33:H33" si="9">C15+C22+C31</f>
        <v>3.980000000000004</v>
      </c>
      <c r="D33" s="41">
        <f t="shared" si="9"/>
        <v>-13.399999999999999</v>
      </c>
      <c r="E33" s="41">
        <f t="shared" si="9"/>
        <v>-42.500000000000007</v>
      </c>
      <c r="F33" s="41">
        <f t="shared" si="9"/>
        <v>-126</v>
      </c>
      <c r="G33" s="41">
        <f t="shared" si="9"/>
        <v>-17.899999999999977</v>
      </c>
      <c r="H33" s="41">
        <f t="shared" si="9"/>
        <v>84.899999999999935</v>
      </c>
      <c r="I33" s="41">
        <f t="shared" ref="I33:L33" si="10">I15+I22+I31</f>
        <v>-156.94999999999993</v>
      </c>
      <c r="J33" s="41">
        <f t="shared" si="10"/>
        <v>-46.000000000000085</v>
      </c>
      <c r="K33" s="41">
        <f t="shared" si="10"/>
        <v>-43.899999999999963</v>
      </c>
      <c r="L33" s="41">
        <f t="shared" si="10"/>
        <v>-18.500000000000085</v>
      </c>
    </row>
    <row r="34" spans="2:13" x14ac:dyDescent="0.2">
      <c r="B34" s="4" t="s">
        <v>50</v>
      </c>
      <c r="D34" s="4">
        <f>C35</f>
        <v>3.980000000000004</v>
      </c>
      <c r="E34" s="4">
        <f t="shared" ref="E34:L34" si="11">D35</f>
        <v>-9.4199999999999946</v>
      </c>
      <c r="F34" s="4">
        <f t="shared" si="11"/>
        <v>-51.92</v>
      </c>
      <c r="G34" s="4">
        <f t="shared" si="11"/>
        <v>-177.92000000000002</v>
      </c>
      <c r="H34" s="4">
        <f t="shared" si="11"/>
        <v>-195.82</v>
      </c>
      <c r="I34" s="4">
        <f t="shared" si="11"/>
        <v>-110.92000000000006</v>
      </c>
      <c r="J34" s="4">
        <f t="shared" si="11"/>
        <v>-267.87</v>
      </c>
      <c r="K34" s="4">
        <f t="shared" si="11"/>
        <v>-313.87000000000012</v>
      </c>
      <c r="L34" s="4">
        <f t="shared" si="11"/>
        <v>-357.7700000000001</v>
      </c>
    </row>
    <row r="35" spans="2:13" x14ac:dyDescent="0.2">
      <c r="B35" s="4" t="s">
        <v>51</v>
      </c>
      <c r="C35" s="4">
        <f>C34+C33</f>
        <v>3.980000000000004</v>
      </c>
      <c r="D35" s="4">
        <f t="shared" ref="D35:L35" si="12">D34+D33</f>
        <v>-9.4199999999999946</v>
      </c>
      <c r="E35" s="4">
        <f t="shared" si="12"/>
        <v>-51.92</v>
      </c>
      <c r="F35" s="4">
        <f t="shared" si="12"/>
        <v>-177.92000000000002</v>
      </c>
      <c r="G35" s="4">
        <f t="shared" si="12"/>
        <v>-195.82</v>
      </c>
      <c r="H35" s="4">
        <f t="shared" si="12"/>
        <v>-110.92000000000006</v>
      </c>
      <c r="I35" s="4">
        <f t="shared" si="12"/>
        <v>-267.87</v>
      </c>
      <c r="J35" s="4">
        <f t="shared" si="12"/>
        <v>-313.87000000000012</v>
      </c>
      <c r="K35" s="4">
        <f t="shared" si="12"/>
        <v>-357.7700000000001</v>
      </c>
      <c r="L35" s="4">
        <f t="shared" si="12"/>
        <v>-376.27000000000021</v>
      </c>
    </row>
    <row r="39" spans="2:13" ht="15" x14ac:dyDescent="0.25">
      <c r="M39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Ownership</vt:lpstr>
      <vt:lpstr>Management</vt:lpstr>
      <vt:lpstr>Income Statement</vt:lpstr>
      <vt:lpstr>Balance Sheet</vt:lpstr>
      <vt:lpstr>Cash Flow Statement V1</vt:lpstr>
      <vt:lpstr>Comps</vt:lpstr>
      <vt:lpstr>On The Pitch</vt:lpstr>
      <vt:lpstr>M&amp;A History</vt:lpstr>
      <vt:lpstr>Valuation Calcs</vt:lpstr>
      <vt:lpstr>Demographics &amp; Socials</vt:lpstr>
      <vt:lpstr>Cash Flow Statement (Work 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Moir</dc:creator>
  <cp:lastModifiedBy>MOIR, JOSH (UG)</cp:lastModifiedBy>
  <dcterms:created xsi:type="dcterms:W3CDTF">2025-05-11T13:06:20Z</dcterms:created>
  <dcterms:modified xsi:type="dcterms:W3CDTF">2025-05-19T14:10:29Z</dcterms:modified>
</cp:coreProperties>
</file>